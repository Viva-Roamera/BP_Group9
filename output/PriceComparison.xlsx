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PriceComparison" sheetId="2" state="visible" r:id="rId2"/>
  </sheets>
  <definedNames>
    <definedName name="_xlnm._FilterDatabase" localSheetId="1" hidden="1">'PriceComparison'!$A$1:$I$172</definedName>
  </definedNames>
  <calcPr calcId="124519" fullCalcOnLoad="1"/>
</workbook>
</file>

<file path=xl/styles.xml><?xml version="1.0" encoding="utf-8"?>
<styleSheet xmlns="http://schemas.openxmlformats.org/spreadsheetml/2006/main">
  <numFmts count="1">
    <numFmt numFmtId="164" formatCode="€#,##0.00"/>
  </numFmts>
  <fonts count="5">
    <font>
      <name val="Calibri"/>
      <family val="2"/>
      <color theme="1"/>
      <sz val="11"/>
      <scheme val="minor"/>
    </font>
    <font>
      <name val="Arial"/>
      <b val="1"/>
    </font>
    <font>
      <name val="Arial"/>
    </font>
    <font>
      <name val="Arial"/>
      <b val="1"/>
      <color rgb="00FFFFFF"/>
    </font>
    <font>
      <name val="Arial"/>
      <i val="1"/>
      <sz val="9"/>
    </font>
  </fonts>
  <fills count="4">
    <fill>
      <patternFill/>
    </fill>
    <fill>
      <patternFill patternType="gray125"/>
    </fill>
    <fill>
      <patternFill patternType="solid">
        <fgColor rgb="00D9D9D9"/>
        <bgColor rgb="00D9D9D9"/>
      </patternFill>
    </fill>
    <fill>
      <patternFill patternType="solid">
        <fgColor rgb="00305496"/>
        <bgColor rgb="00305496"/>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pivotButton="0" quotePrefix="0" xfId="0"/>
    <xf numFmtId="0" fontId="2" fillId="0" borderId="0" pivotButton="0" quotePrefix="0" xfId="0"/>
    <xf numFmtId="164" fontId="2" fillId="0" borderId="0" pivotButton="0" quotePrefix="0" xfId="0"/>
    <xf numFmtId="0" fontId="3" fillId="3" borderId="0" applyAlignment="1" pivotButton="0" quotePrefix="0" xfId="0">
      <alignment horizontal="center" wrapText="1"/>
    </xf>
    <xf numFmtId="0" fontId="2" fillId="0" borderId="0" applyAlignment="1" pivotButton="0" quotePrefix="0" xfId="0">
      <alignment horizontal="center"/>
    </xf>
    <xf numFmtId="0" fontId="2" fillId="0" borderId="0" applyAlignment="1" pivotButton="0" quotePrefix="0" xfId="0">
      <alignment horizontal="left"/>
    </xf>
    <xf numFmtId="164" fontId="2" fillId="0" borderId="0" applyAlignment="1" pivotButton="0" quotePrefix="0" xfId="0">
      <alignment horizontal="center"/>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7"/>
  <sheetViews>
    <sheetView workbookViewId="0">
      <selection activeCell="A1" sqref="A1"/>
    </sheetView>
  </sheetViews>
  <sheetFormatPr baseColWidth="8" defaultRowHeight="15"/>
  <cols>
    <col width="16" customWidth="1" min="1" max="1"/>
    <col width="12" customWidth="1" min="2" max="2"/>
    <col width="16" customWidth="1" min="3" max="3"/>
    <col width="48" customWidth="1" min="4" max="4"/>
    <col width="10" customWidth="1" min="5" max="5"/>
  </cols>
  <sheetData>
    <row r="1">
      <c r="A1" s="1" t="inlineStr">
        <is>
          <t>shop</t>
        </is>
      </c>
      <c r="B1" s="1" t="inlineStr">
        <is>
          <t>ProductID</t>
        </is>
      </c>
      <c r="C1" s="1" t="inlineStr">
        <is>
          <t>category</t>
        </is>
      </c>
      <c r="D1" s="1" t="inlineStr">
        <is>
          <t>name</t>
        </is>
      </c>
      <c r="E1" s="1" t="inlineStr">
        <is>
          <t>price</t>
        </is>
      </c>
    </row>
    <row r="2">
      <c r="A2" s="2" t="inlineStr">
        <is>
          <t>Brickmo</t>
        </is>
      </c>
      <c r="B2" s="2" t="n">
        <v>60312</v>
      </c>
      <c r="C2" s="2" t="inlineStr">
        <is>
          <t>Lego City</t>
        </is>
      </c>
      <c r="D2" s="2" t="inlineStr">
        <is>
          <t>LEGO City 60312 Police Car 60312</t>
        </is>
      </c>
      <c r="E2" s="3" t="n">
        <v>8.26</v>
      </c>
    </row>
    <row r="3">
      <c r="A3" s="2" t="inlineStr">
        <is>
          <t>Brickmo</t>
        </is>
      </c>
      <c r="B3" s="2" t="n">
        <v>60480</v>
      </c>
      <c r="C3" s="2" t="inlineStr">
        <is>
          <t>Lego City</t>
        </is>
      </c>
      <c r="D3" s="2" t="inlineStr">
        <is>
          <t>LEGO City 60480 Yellow Backhoe Loader 60480</t>
        </is>
      </c>
      <c r="E3" s="3" t="n">
        <v>22.17</v>
      </c>
    </row>
    <row r="4">
      <c r="A4" s="2" t="inlineStr">
        <is>
          <t>Brickmo</t>
        </is>
      </c>
      <c r="B4" s="2" t="n">
        <v>60502</v>
      </c>
      <c r="C4" s="2" t="inlineStr">
        <is>
          <t>Lego City</t>
        </is>
      </c>
      <c r="D4" s="2" t="inlineStr">
        <is>
          <t>LEGO City 60502 Airport with Airplane 60502</t>
        </is>
      </c>
      <c r="E4" s="3" t="n">
        <v>80.55</v>
      </c>
    </row>
    <row r="5">
      <c r="A5" s="2" t="inlineStr">
        <is>
          <t>Brickmo</t>
        </is>
      </c>
      <c r="B5" s="2" t="n">
        <v>60373</v>
      </c>
      <c r="C5" s="2" t="inlineStr">
        <is>
          <t>Lego City</t>
        </is>
      </c>
      <c r="D5" s="2" t="inlineStr">
        <is>
          <t>LEGO City 60373 Fire Rescue Boat 60373</t>
        </is>
      </c>
      <c r="E5" s="3" t="n">
        <v>15.49</v>
      </c>
    </row>
    <row r="6">
      <c r="A6" s="2" t="inlineStr">
        <is>
          <t>Brickmo</t>
        </is>
      </c>
      <c r="B6" s="2" t="n">
        <v>60454</v>
      </c>
      <c r="C6" s="2" t="inlineStr">
        <is>
          <t>Lego City</t>
        </is>
      </c>
      <c r="D6" s="2" t="inlineStr">
        <is>
          <t>LEGO City Fahrzeuge 60454 Holiday Adventure...</t>
        </is>
      </c>
      <c r="E6" s="3" t="n">
        <v>22.68</v>
      </c>
    </row>
    <row r="7">
      <c r="A7" s="2" t="inlineStr">
        <is>
          <t>Brickmo</t>
        </is>
      </c>
      <c r="B7" s="2" t="n">
        <v>60430</v>
      </c>
      <c r="C7" s="2" t="inlineStr">
        <is>
          <t>Lego City</t>
        </is>
      </c>
      <c r="D7" s="2" t="inlineStr">
        <is>
          <t>LEGO City 60430 Interstellar Spaceship 60430</t>
        </is>
      </c>
      <c r="E7" s="3" t="n">
        <v>14.97</v>
      </c>
    </row>
    <row r="8">
      <c r="A8" s="2" t="inlineStr">
        <is>
          <t>Brickmo</t>
        </is>
      </c>
      <c r="B8" s="2" t="n">
        <v>60484</v>
      </c>
      <c r="C8" s="2" t="inlineStr">
        <is>
          <t>Lego City</t>
        </is>
      </c>
      <c r="D8" s="2" t="inlineStr">
        <is>
          <t>LEGO City 60484 Rides – Gaming Race Car 60484</t>
        </is>
      </c>
      <c r="E8" s="3" t="n">
        <v>7.49</v>
      </c>
    </row>
    <row r="9">
      <c r="A9" s="2" t="inlineStr">
        <is>
          <t>Brickmo</t>
        </is>
      </c>
      <c r="B9" s="2" t="n">
        <v>60419</v>
      </c>
      <c r="C9" s="2" t="inlineStr">
        <is>
          <t>Lego City</t>
        </is>
      </c>
      <c r="D9" s="2" t="inlineStr">
        <is>
          <t>LEGO City 60419 Police Prison Island 60419</t>
        </is>
      </c>
      <c r="E9" s="3" t="n">
        <v>78.48</v>
      </c>
    </row>
    <row r="10">
      <c r="A10" s="2" t="inlineStr">
        <is>
          <t>Brickmo</t>
        </is>
      </c>
      <c r="B10" s="2" t="n">
        <v>60414</v>
      </c>
      <c r="C10" s="2" t="inlineStr">
        <is>
          <t>Lego City</t>
        </is>
      </c>
      <c r="D10" s="2" t="inlineStr">
        <is>
          <t>LEGO City 60414 Fire Station with Fire Truck 60414</t>
        </is>
      </c>
      <c r="E10" s="3" t="n">
        <v>61.95</v>
      </c>
    </row>
    <row r="11">
      <c r="A11" s="2" t="inlineStr">
        <is>
          <t>Brickmo</t>
        </is>
      </c>
      <c r="B11" s="2" t="n">
        <v>60483</v>
      </c>
      <c r="C11" s="2" t="inlineStr">
        <is>
          <t>Lego City</t>
        </is>
      </c>
      <c r="D11" s="2" t="inlineStr">
        <is>
          <t>LEGO City 60483 Rides – Construction Loader 60483</t>
        </is>
      </c>
      <c r="E11" s="3" t="n">
        <v>7.49</v>
      </c>
    </row>
    <row r="12">
      <c r="A12" s="2" t="inlineStr">
        <is>
          <t>Brickmo</t>
        </is>
      </c>
      <c r="B12" s="2" t="n">
        <v>60479</v>
      </c>
      <c r="C12" s="2" t="inlineStr">
        <is>
          <t>Lego City</t>
        </is>
      </c>
      <c r="D12" s="2" t="inlineStr">
        <is>
          <t>LEGO City 60479 Police Prisoner Transport Van...</t>
        </is>
      </c>
      <c r="E12" s="3" t="n">
        <v>16.01</v>
      </c>
    </row>
    <row r="13">
      <c r="A13" s="2" t="inlineStr">
        <is>
          <t>Brickmo</t>
        </is>
      </c>
      <c r="B13" s="2" t="n">
        <v>60465</v>
      </c>
      <c r="C13" s="2" t="inlineStr">
        <is>
          <t>Lego City</t>
        </is>
      </c>
      <c r="D13" s="2" t="inlineStr">
        <is>
          <t>LEGO City 60465 Emergency Air Ambulance...</t>
        </is>
      </c>
      <c r="E13" s="3" t="n">
        <v>40.25</v>
      </c>
    </row>
    <row r="14">
      <c r="A14" s="2" t="inlineStr">
        <is>
          <t>Brickmo</t>
        </is>
      </c>
      <c r="B14" s="2" t="n">
        <v>60481</v>
      </c>
      <c r="C14" s="2" t="inlineStr">
        <is>
          <t>Lego City</t>
        </is>
      </c>
      <c r="D14" s="2" t="inlineStr">
        <is>
          <t>LEGO City 60481 Rides – Police Truck 60481</t>
        </is>
      </c>
      <c r="E14" s="3" t="n">
        <v>7.49</v>
      </c>
    </row>
    <row r="15">
      <c r="A15" s="2" t="inlineStr">
        <is>
          <t>Brickmo</t>
        </is>
      </c>
      <c r="B15" s="2" t="n">
        <v>60404</v>
      </c>
      <c r="C15" s="2" t="inlineStr">
        <is>
          <t>Lego City</t>
        </is>
      </c>
      <c r="D15" s="2" t="inlineStr">
        <is>
          <t>LEGO City 60404 Burger Truck 60404</t>
        </is>
      </c>
      <c r="E15" s="3" t="n">
        <v>16.52</v>
      </c>
    </row>
    <row r="16">
      <c r="A16" s="2" t="inlineStr">
        <is>
          <t>Brickmo</t>
        </is>
      </c>
      <c r="B16" s="2" t="n">
        <v>60482</v>
      </c>
      <c r="C16" s="2" t="inlineStr">
        <is>
          <t>Lego City</t>
        </is>
      </c>
      <c r="D16" s="2" t="inlineStr">
        <is>
          <t>LEGO City 60482 Rides – Fire Truck 60482</t>
        </is>
      </c>
      <c r="E16" s="3" t="n">
        <v>7.49</v>
      </c>
    </row>
    <row r="17">
      <c r="A17" s="2" t="inlineStr">
        <is>
          <t>Brickmo</t>
        </is>
      </c>
      <c r="B17" s="2" t="n">
        <v>60486</v>
      </c>
      <c r="C17" s="2" t="inlineStr">
        <is>
          <t>Lego City</t>
        </is>
      </c>
      <c r="D17" s="2" t="inlineStr">
        <is>
          <t>LEGO City 60486 EV Supercar 60486</t>
        </is>
      </c>
      <c r="E17" s="3" t="n">
        <v>8.529999999999999</v>
      </c>
    </row>
    <row r="18">
      <c r="A18" s="2" t="inlineStr">
        <is>
          <t>Brickmo</t>
        </is>
      </c>
      <c r="B18" s="2" t="n">
        <v>60505</v>
      </c>
      <c r="C18" s="2" t="inlineStr">
        <is>
          <t>Lego City</t>
        </is>
      </c>
      <c r="D18" s="2" t="inlineStr">
        <is>
          <t>LEGO City 60505 Airplane, Service Truck &amp;...</t>
        </is>
      </c>
      <c r="E18" s="3" t="n">
        <v>54.61</v>
      </c>
    </row>
    <row r="19">
      <c r="A19" s="2" t="inlineStr">
        <is>
          <t>Brickmo</t>
        </is>
      </c>
      <c r="B19" s="2" t="n">
        <v>60205</v>
      </c>
      <c r="C19" s="2" t="inlineStr">
        <is>
          <t>Lego City</t>
        </is>
      </c>
      <c r="D19" s="2" t="inlineStr">
        <is>
          <t>LEGO City 60205 Tracks 60205</t>
        </is>
      </c>
      <c r="E19" s="3" t="n">
        <v>15.49</v>
      </c>
    </row>
    <row r="20">
      <c r="A20" s="2" t="inlineStr">
        <is>
          <t>Brickmo</t>
        </is>
      </c>
      <c r="B20" s="2" t="n">
        <v>60368</v>
      </c>
      <c r="C20" s="2" t="inlineStr">
        <is>
          <t>Lego City</t>
        </is>
      </c>
      <c r="D20" s="2" t="inlineStr">
        <is>
          <t>LEGO City 60368 Arctic Explorer Ship 60368</t>
        </is>
      </c>
      <c r="E20" s="3" t="n">
        <v>153.97</v>
      </c>
    </row>
    <row r="21">
      <c r="A21" s="2" t="inlineStr">
        <is>
          <t>Brickmo</t>
        </is>
      </c>
      <c r="B21" s="2" t="n">
        <v>60511</v>
      </c>
      <c r="C21" s="2" t="inlineStr">
        <is>
          <t>Lego City</t>
        </is>
      </c>
      <c r="D21" s="2" t="inlineStr">
        <is>
          <t>LEGO City 60511 Vintage Steam Train 60511</t>
        </is>
      </c>
      <c r="E21" s="3" t="n">
        <v>71.25</v>
      </c>
    </row>
    <row r="22">
      <c r="A22" s="2" t="inlineStr">
        <is>
          <t>Brickmo</t>
        </is>
      </c>
      <c r="B22" s="2" t="n">
        <v>60506</v>
      </c>
      <c r="C22" s="2" t="inlineStr">
        <is>
          <t>Lego City</t>
        </is>
      </c>
      <c r="D22" s="2" t="inlineStr">
        <is>
          <t>LEGO City 60506 Classic Beach Streetcar 60506</t>
        </is>
      </c>
      <c r="E22" s="3" t="n">
        <v>55.28</v>
      </c>
    </row>
    <row r="23">
      <c r="A23" s="2" t="inlineStr">
        <is>
          <t>Brickmo</t>
        </is>
      </c>
      <c r="B23" s="2" t="n">
        <v>60494</v>
      </c>
      <c r="C23" s="2" t="inlineStr">
        <is>
          <t>Lego City</t>
        </is>
      </c>
      <c r="D23" s="2" t="inlineStr">
        <is>
          <t>LEGO City 60494 Dump Truck &amp; Front End Loader...</t>
        </is>
      </c>
      <c r="E23" s="3" t="n">
        <v>97.65000000000001</v>
      </c>
    </row>
    <row r="24">
      <c r="A24" s="2" t="inlineStr">
        <is>
          <t>Brickmo</t>
        </is>
      </c>
      <c r="B24" s="2" t="n">
        <v>60492</v>
      </c>
      <c r="C24" s="2" t="inlineStr">
        <is>
          <t>Lego City</t>
        </is>
      </c>
      <c r="D24" s="2" t="inlineStr">
        <is>
          <t>LEGO City 60492 Passenger Jet 60492</t>
        </is>
      </c>
      <c r="E24" s="3" t="n">
        <v>22.17</v>
      </c>
    </row>
    <row r="25">
      <c r="A25" s="2" t="inlineStr">
        <is>
          <t>Brickmo</t>
        </is>
      </c>
      <c r="B25" s="2" t="n">
        <v>60497</v>
      </c>
      <c r="C25" s="2" t="inlineStr">
        <is>
          <t>Lego City</t>
        </is>
      </c>
      <c r="D25" s="2" t="inlineStr">
        <is>
          <t>LEGO City 60497 Drive-Through Car Wash 60497</t>
        </is>
      </c>
      <c r="E25" s="3" t="n">
        <v>42.83</v>
      </c>
    </row>
    <row r="26">
      <c r="A26" s="2" t="inlineStr">
        <is>
          <t>Brickmo</t>
        </is>
      </c>
      <c r="B26" s="2" t="n">
        <v>75455</v>
      </c>
      <c r="C26" s="2" t="inlineStr">
        <is>
          <t>Lego Star Wars</t>
        </is>
      </c>
      <c r="D26" s="2" t="inlineStr">
        <is>
          <t>LEGO Star Wars 75455 Boba Fett 75455</t>
        </is>
      </c>
      <c r="E26" s="3" t="n">
        <v>139.45</v>
      </c>
    </row>
    <row r="27">
      <c r="A27" s="2" t="inlineStr">
        <is>
          <t>Brickmo</t>
        </is>
      </c>
      <c r="B27" s="2" t="n">
        <v>75331</v>
      </c>
      <c r="C27" s="2" t="inlineStr">
        <is>
          <t>Lego Star Wars</t>
        </is>
      </c>
      <c r="D27" s="2" t="inlineStr">
        <is>
          <t>LEGO Star Wars 75331 The Razor Crest 75331</t>
        </is>
      </c>
      <c r="E27" s="3" t="n">
        <v>670.63</v>
      </c>
    </row>
    <row r="28">
      <c r="A28" s="2" t="inlineStr">
        <is>
          <t>Brickmo</t>
        </is>
      </c>
      <c r="B28" s="2" t="n">
        <v>75192</v>
      </c>
      <c r="C28" s="2" t="inlineStr">
        <is>
          <t>Lego Star Wars</t>
        </is>
      </c>
      <c r="D28" s="2" t="inlineStr">
        <is>
          <t>LEGO Star Wars 75192 Millennium Falcon 75192</t>
        </is>
      </c>
      <c r="E28" s="3" t="n">
        <v>784.3</v>
      </c>
    </row>
    <row r="29">
      <c r="A29" s="2" t="inlineStr">
        <is>
          <t>Brickmo</t>
        </is>
      </c>
      <c r="B29" s="2" t="n">
        <v>40755</v>
      </c>
      <c r="C29" s="2" t="inlineStr">
        <is>
          <t>Lego Star Wars</t>
        </is>
      </c>
      <c r="D29" s="2" t="inlineStr">
        <is>
          <t>LEGO Star Wars 40755 Imperial Dropship vs....</t>
        </is>
      </c>
      <c r="E29" s="3" t="n">
        <v>49.55</v>
      </c>
    </row>
    <row r="30">
      <c r="A30" s="2" t="inlineStr">
        <is>
          <t>Brickmo</t>
        </is>
      </c>
      <c r="B30" s="2" t="n">
        <v>75383</v>
      </c>
      <c r="C30" s="2" t="inlineStr">
        <is>
          <t>Lego Star Wars</t>
        </is>
      </c>
      <c r="D30" s="2" t="inlineStr">
        <is>
          <t>LEGO Star Wars 75383 Darth Maul's Sith...</t>
        </is>
      </c>
      <c r="E30" s="3" t="n">
        <v>72.28</v>
      </c>
    </row>
    <row r="31">
      <c r="A31" s="2" t="inlineStr">
        <is>
          <t>Brickmo</t>
        </is>
      </c>
      <c r="B31" s="2" t="n">
        <v>75400</v>
      </c>
      <c r="C31" s="2" t="inlineStr">
        <is>
          <t>Lego Star Wars</t>
        </is>
      </c>
      <c r="D31" s="2" t="inlineStr">
        <is>
          <t>LEGO Star Wars 75400 Plo Koon's Jedi...</t>
        </is>
      </c>
      <c r="E31" s="3" t="n">
        <v>11.87</v>
      </c>
    </row>
    <row r="32">
      <c r="A32" s="2" t="inlineStr">
        <is>
          <t>Brickmo</t>
        </is>
      </c>
      <c r="B32" s="2" t="n">
        <v>75397</v>
      </c>
      <c r="C32" s="2" t="inlineStr">
        <is>
          <t>Lego Star Wars</t>
        </is>
      </c>
      <c r="D32" s="2" t="inlineStr">
        <is>
          <t>LEGO Star Wars 75397 Jabba's Sail Barge 75397</t>
        </is>
      </c>
      <c r="E32" s="3" t="n">
        <v>449.45</v>
      </c>
    </row>
    <row r="33">
      <c r="A33" s="2" t="inlineStr">
        <is>
          <t>Brickmo</t>
        </is>
      </c>
      <c r="B33" s="2" t="n">
        <v>75453</v>
      </c>
      <c r="C33" s="2" t="inlineStr">
        <is>
          <t>Lego Star Wars</t>
        </is>
      </c>
      <c r="D33" s="2" t="inlineStr">
        <is>
          <t>LEGO Star Wars 75453 Offworld Sandcrawler and...</t>
        </is>
      </c>
      <c r="E33" s="3" t="n">
        <v>165.28</v>
      </c>
    </row>
    <row r="34">
      <c r="A34" s="2" t="inlineStr">
        <is>
          <t>Brickmo</t>
        </is>
      </c>
      <c r="B34" s="2" t="n">
        <v>75454</v>
      </c>
      <c r="C34" s="2" t="inlineStr">
        <is>
          <t>Lego Star Wars</t>
        </is>
      </c>
      <c r="D34" s="2" t="inlineStr">
        <is>
          <t>LEGO Star Wars 75454 Imperial Remnant AT-AT...</t>
        </is>
      </c>
      <c r="E34" s="3" t="n">
        <v>132.58</v>
      </c>
    </row>
    <row r="35">
      <c r="A35" s="2" t="inlineStr">
        <is>
          <t>Brickmo</t>
        </is>
      </c>
      <c r="B35" s="2" t="n">
        <v>75349</v>
      </c>
      <c r="C35" s="2" t="inlineStr">
        <is>
          <t>Lego Star Wars</t>
        </is>
      </c>
      <c r="D35" s="2" t="inlineStr">
        <is>
          <t>LEGO Star Wars 75349 Captain Rex Helmet 75349</t>
        </is>
      </c>
      <c r="E35" s="3" t="n">
        <v>72.28</v>
      </c>
    </row>
    <row r="36">
      <c r="A36" s="2" t="inlineStr">
        <is>
          <t>Brickmo</t>
        </is>
      </c>
      <c r="B36" s="2" t="n">
        <v>75345</v>
      </c>
      <c r="C36" s="2" t="inlineStr">
        <is>
          <t>Lego Star Wars</t>
        </is>
      </c>
      <c r="D36" s="2" t="inlineStr">
        <is>
          <t>LEGO Star Wars 75345 501st Clone Troopers...</t>
        </is>
      </c>
      <c r="E36" s="3" t="n">
        <v>20.62</v>
      </c>
    </row>
    <row r="37">
      <c r="A37" s="2" t="inlineStr">
        <is>
          <t>Brickmo</t>
        </is>
      </c>
      <c r="B37" s="2" t="n">
        <v>75401</v>
      </c>
      <c r="C37" s="2" t="inlineStr">
        <is>
          <t>Lego Star Wars</t>
        </is>
      </c>
      <c r="D37" s="2" t="inlineStr">
        <is>
          <t>LEGO Star Wars 75401 Ahsoka's Jedi Interceptor...</t>
        </is>
      </c>
      <c r="E37" s="3" t="n">
        <v>37.15</v>
      </c>
    </row>
    <row r="38">
      <c r="A38" s="2" t="inlineStr">
        <is>
          <t>Brickmo</t>
        </is>
      </c>
      <c r="B38" s="2" t="n">
        <v>75347</v>
      </c>
      <c r="C38" s="2" t="inlineStr">
        <is>
          <t>Lego Star Wars</t>
        </is>
      </c>
      <c r="D38" s="2" t="inlineStr">
        <is>
          <t>LEGO Star Wars 75347 TIE Bomber 75347</t>
        </is>
      </c>
      <c r="E38" s="3" t="n">
        <v>54.76</v>
      </c>
    </row>
    <row r="39">
      <c r="A39" s="2" t="inlineStr">
        <is>
          <t>Brickmo</t>
        </is>
      </c>
      <c r="B39" s="2" t="n">
        <v>75404</v>
      </c>
      <c r="C39" s="2" t="inlineStr">
        <is>
          <t>Lego Star Wars</t>
        </is>
      </c>
      <c r="D39" s="2" t="inlineStr">
        <is>
          <t>LEGO Star Wars 75404 Acclamator-Class Assault...</t>
        </is>
      </c>
      <c r="E39" s="3" t="n">
        <v>41.28</v>
      </c>
    </row>
    <row r="40">
      <c r="A40" s="2" t="inlineStr">
        <is>
          <t>Brickmo</t>
        </is>
      </c>
      <c r="B40" s="2" t="n">
        <v>75403</v>
      </c>
      <c r="C40" s="2" t="inlineStr">
        <is>
          <t>Lego Star Wars</t>
        </is>
      </c>
      <c r="D40" s="2" t="inlineStr">
        <is>
          <t>LEGO Star Wars 75403 Grogu with Hover Pram 75403</t>
        </is>
      </c>
      <c r="E40" s="3" t="n">
        <v>82.62</v>
      </c>
    </row>
    <row r="41">
      <c r="A41" s="2" t="inlineStr">
        <is>
          <t>Brickmo</t>
        </is>
      </c>
      <c r="B41" s="2" t="n">
        <v>75333</v>
      </c>
      <c r="C41" s="2" t="inlineStr">
        <is>
          <t>Lego Star Wars</t>
        </is>
      </c>
      <c r="D41" s="2" t="inlineStr">
        <is>
          <t>LEGO Star Wars 75333 Obi-Wan Kenobi’s Jedi...</t>
        </is>
      </c>
      <c r="E41" s="3" t="n">
        <v>36.12</v>
      </c>
    </row>
    <row r="42">
      <c r="A42" s="2" t="inlineStr">
        <is>
          <t>Brickmo</t>
        </is>
      </c>
      <c r="B42" s="2" t="n">
        <v>75373</v>
      </c>
      <c r="C42" s="2" t="inlineStr">
        <is>
          <t>Lego Star Wars</t>
        </is>
      </c>
      <c r="D42" s="2" t="inlineStr">
        <is>
          <t>LEGO Star Wars 75373 Ambush on Mandalore Battle...</t>
        </is>
      </c>
      <c r="E42" s="3" t="n">
        <v>20.62</v>
      </c>
    </row>
    <row r="43">
      <c r="A43" s="2" t="inlineStr">
        <is>
          <t>Brickmo</t>
        </is>
      </c>
      <c r="B43" s="2" t="n">
        <v>75325</v>
      </c>
      <c r="C43" s="2" t="inlineStr">
        <is>
          <t>Lego Star Wars</t>
        </is>
      </c>
      <c r="D43" s="2" t="inlineStr">
        <is>
          <t>LEGO Star Wars 75325 The Mandalorian´s N-1...</t>
        </is>
      </c>
      <c r="E43" s="3" t="n">
        <v>60.97</v>
      </c>
    </row>
    <row r="44">
      <c r="A44" s="2" t="inlineStr">
        <is>
          <t>Brickmo</t>
        </is>
      </c>
      <c r="B44" s="2" t="n">
        <v>75456</v>
      </c>
      <c r="C44" s="2" t="inlineStr">
        <is>
          <t>Lego Star Wars</t>
        </is>
      </c>
      <c r="D44" s="2" t="inlineStr">
        <is>
          <t>LEGO Star Wars 75456 Advent Calendar 2026 75456</t>
        </is>
      </c>
      <c r="E44" s="3" t="n">
        <v>27.85</v>
      </c>
    </row>
    <row r="45">
      <c r="A45" s="2" t="inlineStr">
        <is>
          <t>Brickmo</t>
        </is>
      </c>
      <c r="B45" s="2" t="n">
        <v>75451</v>
      </c>
      <c r="C45" s="2" t="inlineStr">
        <is>
          <t>Lego Star Wars</t>
        </is>
      </c>
      <c r="D45" s="2" t="inlineStr">
        <is>
          <t>LEGO Star Wars 75451 Hutt Palace Sentry Droid...</t>
        </is>
      </c>
      <c r="E45" s="3" t="n">
        <v>39.68</v>
      </c>
    </row>
    <row r="46">
      <c r="A46" s="2" t="inlineStr">
        <is>
          <t>Brickmo</t>
        </is>
      </c>
      <c r="B46" s="2" t="n">
        <v>75439</v>
      </c>
      <c r="C46" s="2" t="inlineStr">
        <is>
          <t>Lego Star Wars</t>
        </is>
      </c>
      <c r="D46" s="2" t="inlineStr">
        <is>
          <t>LEGO Star Wars 75439 Darth Vader Bust 75439</t>
        </is>
      </c>
      <c r="E46" s="3" t="n">
        <v>40.25</v>
      </c>
    </row>
    <row r="47">
      <c r="A47" s="2" t="inlineStr">
        <is>
          <t>Brickmo</t>
        </is>
      </c>
      <c r="B47" s="2" t="n">
        <v>75438</v>
      </c>
      <c r="C47" s="2" t="inlineStr">
        <is>
          <t>Lego Star Wars</t>
        </is>
      </c>
      <c r="D47" s="2" t="inlineStr">
        <is>
          <t>LEGO Star Wars 75438 Yoda Bust 75438</t>
        </is>
      </c>
      <c r="E47" s="3" t="n">
        <v>31.98</v>
      </c>
    </row>
    <row r="48">
      <c r="A48" s="2" t="inlineStr">
        <is>
          <t>Brickmo</t>
        </is>
      </c>
      <c r="B48" s="2" t="n">
        <v>75446</v>
      </c>
      <c r="C48" s="2" t="inlineStr">
        <is>
          <t>Lego Star Wars</t>
        </is>
      </c>
      <c r="D48" s="2" t="inlineStr">
        <is>
          <t>LEGO Star Wars 75446 Grogu (Mandalorian...</t>
        </is>
      </c>
      <c r="E48" s="3" t="n">
        <v>107.93</v>
      </c>
    </row>
    <row r="49">
      <c r="A49" s="2" t="inlineStr">
        <is>
          <t>Brickmo</t>
        </is>
      </c>
      <c r="B49" s="2" t="n">
        <v>75445</v>
      </c>
      <c r="C49" s="2" t="inlineStr">
        <is>
          <t>Lego Star Wars</t>
        </is>
      </c>
      <c r="D49" s="2" t="inlineStr">
        <is>
          <t>LEGO Star Wars 75445 Anzellan Starship 75445</t>
        </is>
      </c>
      <c r="E49" s="3" t="n">
        <v>60.92</v>
      </c>
    </row>
    <row r="50">
      <c r="A50" s="2" t="inlineStr">
        <is>
          <t>Brickmo</t>
        </is>
      </c>
      <c r="B50" s="2" t="n">
        <v>42673</v>
      </c>
      <c r="C50" s="2" t="inlineStr">
        <is>
          <t>Lego Friends</t>
        </is>
      </c>
      <c r="D50" s="2" t="inlineStr">
        <is>
          <t>LEGO Friends 42673 Family Vacation Beach Resort...</t>
        </is>
      </c>
      <c r="E50" s="3" t="n">
        <v>108.45</v>
      </c>
    </row>
    <row r="51">
      <c r="A51" s="2" t="inlineStr">
        <is>
          <t>Brickmo</t>
        </is>
      </c>
      <c r="B51" s="2" t="n">
        <v>42692</v>
      </c>
      <c r="C51" s="2" t="inlineStr">
        <is>
          <t>Lego Friends</t>
        </is>
      </c>
      <c r="D51" s="2" t="inlineStr">
        <is>
          <t>LEGO Friends 42692 Ice Cream &amp; Balloon Stand 42692</t>
        </is>
      </c>
      <c r="E51" s="3" t="n">
        <v>7.49</v>
      </c>
    </row>
    <row r="52">
      <c r="A52" s="2" t="inlineStr">
        <is>
          <t>Brickmo</t>
        </is>
      </c>
      <c r="B52" s="2" t="n">
        <v>42648</v>
      </c>
      <c r="C52" s="2" t="inlineStr">
        <is>
          <t>Lego Friends</t>
        </is>
      </c>
      <c r="D52" s="2" t="inlineStr">
        <is>
          <t>LEGO Friends 42648 Panda Sanctuary Animal Care...</t>
        </is>
      </c>
      <c r="E52" s="3" t="n">
        <v>23.72</v>
      </c>
    </row>
    <row r="53">
      <c r="A53" s="2" t="inlineStr">
        <is>
          <t>Brickmo</t>
        </is>
      </c>
      <c r="B53" s="2" t="n">
        <v>42695</v>
      </c>
      <c r="C53" s="2" t="inlineStr">
        <is>
          <t>Lego Friends</t>
        </is>
      </c>
      <c r="D53" s="2" t="inlineStr">
        <is>
          <t>LEGO Friends 42695 Horse &amp; Baby Foal Trailer 42695</t>
        </is>
      </c>
      <c r="E53" s="3" t="n">
        <v>22.27</v>
      </c>
    </row>
    <row r="54">
      <c r="A54" s="2" t="inlineStr">
        <is>
          <t>Brickmo</t>
        </is>
      </c>
      <c r="B54" s="2" t="n">
        <v>42703</v>
      </c>
      <c r="C54" s="2" t="inlineStr">
        <is>
          <t>Lego Friends</t>
        </is>
      </c>
      <c r="D54" s="2" t="inlineStr">
        <is>
          <t>LEGO Friends 42703 Mermaid Roller Coaster Ride...</t>
        </is>
      </c>
      <c r="E54" s="3" t="n">
        <v>77.86</v>
      </c>
    </row>
    <row r="55">
      <c r="A55" s="2" t="inlineStr">
        <is>
          <t>Brickmo</t>
        </is>
      </c>
      <c r="B55" s="2" t="n">
        <v>42690</v>
      </c>
      <c r="C55" s="2" t="inlineStr">
        <is>
          <t>Lego Friends</t>
        </is>
      </c>
      <c r="D55" s="2" t="inlineStr">
        <is>
          <t>LEGO Friends 42690 Forest Tea Party 42690</t>
        </is>
      </c>
      <c r="E55" s="3" t="n">
        <v>7.44</v>
      </c>
    </row>
    <row r="56">
      <c r="A56" s="2" t="inlineStr">
        <is>
          <t>Brickmo</t>
        </is>
      </c>
      <c r="B56" s="2" t="n">
        <v>42700</v>
      </c>
      <c r="C56" s="2" t="inlineStr">
        <is>
          <t>Lego Friends</t>
        </is>
      </c>
      <c r="D56" s="2" t="inlineStr">
        <is>
          <t>LEGO Friends 42700 Candy &amp; Cupcake Ferris Wheel...</t>
        </is>
      </c>
      <c r="E56" s="3" t="n">
        <v>46.71</v>
      </c>
    </row>
    <row r="57">
      <c r="A57" s="2" t="inlineStr">
        <is>
          <t>Brickmo</t>
        </is>
      </c>
      <c r="B57" s="2" t="n">
        <v>42676</v>
      </c>
      <c r="C57" s="2" t="inlineStr">
        <is>
          <t>Lego Friends</t>
        </is>
      </c>
      <c r="D57" s="2" t="inlineStr">
        <is>
          <t>LEGO Friends 42676 Fun Water Park Day 42676</t>
        </is>
      </c>
      <c r="E57" s="3" t="n">
        <v>22.17</v>
      </c>
    </row>
    <row r="58">
      <c r="A58" s="2" t="inlineStr">
        <is>
          <t>Brickmo</t>
        </is>
      </c>
      <c r="B58" s="2" t="n">
        <v>42693</v>
      </c>
      <c r="C58" s="2" t="inlineStr">
        <is>
          <t>Lego Friends</t>
        </is>
      </c>
      <c r="D58" s="2" t="inlineStr">
        <is>
          <t>LEGO Friends 42693 Creative Flower Shop 42693</t>
        </is>
      </c>
      <c r="E58" s="3" t="n">
        <v>22.17</v>
      </c>
    </row>
    <row r="59">
      <c r="A59" s="2" t="inlineStr">
        <is>
          <t>Brickmo</t>
        </is>
      </c>
      <c r="B59" s="2" t="n">
        <v>42704</v>
      </c>
      <c r="C59" s="2" t="inlineStr">
        <is>
          <t>Lego Friends</t>
        </is>
      </c>
      <c r="D59" s="2" t="inlineStr">
        <is>
          <t>LEGO Friends 42704 Heartlake City Grand Hotel...</t>
        </is>
      </c>
      <c r="E59" s="3" t="n">
        <v>122.04</v>
      </c>
    </row>
    <row r="60">
      <c r="A60" s="2" t="inlineStr">
        <is>
          <t>Brickmo</t>
        </is>
      </c>
      <c r="B60" s="2" t="n">
        <v>42682</v>
      </c>
      <c r="C60" s="2" t="inlineStr">
        <is>
          <t>Lego Friends</t>
        </is>
      </c>
      <c r="D60" s="2" t="inlineStr">
        <is>
          <t>LEGO Friends 42682 Nature Glamping Cabin 42682</t>
        </is>
      </c>
      <c r="E60" s="3" t="n">
        <v>18.55</v>
      </c>
    </row>
    <row r="61">
      <c r="A61" s="2" t="inlineStr">
        <is>
          <t>Brickmo</t>
        </is>
      </c>
      <c r="B61" s="2" t="n">
        <v>42694</v>
      </c>
      <c r="C61" s="2" t="inlineStr">
        <is>
          <t>Lego Friends</t>
        </is>
      </c>
      <c r="D61" s="2" t="inlineStr">
        <is>
          <t>LEGO Friends 42694 Pizza Truck 42694</t>
        </is>
      </c>
      <c r="E61" s="3" t="n">
        <v>11.11</v>
      </c>
    </row>
    <row r="62">
      <c r="A62" s="2" t="inlineStr">
        <is>
          <t>Brickmo</t>
        </is>
      </c>
      <c r="B62" s="2" t="n">
        <v>42697</v>
      </c>
      <c r="C62" s="2" t="inlineStr">
        <is>
          <t>Lego Friends</t>
        </is>
      </c>
      <c r="D62" s="2" t="inlineStr">
        <is>
          <t>LEGO Friends 42697 Creative Dollhouse Suitcase...</t>
        </is>
      </c>
      <c r="E62" s="3" t="n">
        <v>38.91</v>
      </c>
    </row>
    <row r="63">
      <c r="A63" s="2" t="inlineStr">
        <is>
          <t>Brickmo</t>
        </is>
      </c>
      <c r="B63" s="2" t="n">
        <v>42705</v>
      </c>
      <c r="C63" s="2" t="inlineStr">
        <is>
          <t>Lego Friends</t>
        </is>
      </c>
      <c r="D63" s="2" t="inlineStr">
        <is>
          <t>LEGO Friends 42705 Cozy Fall Forest Cabin 42705</t>
        </is>
      </c>
      <c r="E63" s="3" t="n">
        <v>77.86</v>
      </c>
    </row>
    <row r="64">
      <c r="A64" s="2" t="inlineStr">
        <is>
          <t>Brickmo</t>
        </is>
      </c>
      <c r="B64" s="2" t="n">
        <v>42702</v>
      </c>
      <c r="C64" s="2" t="inlineStr">
        <is>
          <t>Lego Friends</t>
        </is>
      </c>
      <c r="D64" s="2" t="inlineStr">
        <is>
          <t>LEGO Friends 42702 Spinning Flower &amp; Fairy...</t>
        </is>
      </c>
      <c r="E64" s="3" t="n">
        <v>31.16</v>
      </c>
    </row>
    <row r="65">
      <c r="A65" s="2" t="inlineStr">
        <is>
          <t>Brickmo</t>
        </is>
      </c>
      <c r="B65" s="2" t="n">
        <v>42698</v>
      </c>
      <c r="C65" s="2" t="inlineStr">
        <is>
          <t>Lego Friends</t>
        </is>
      </c>
      <c r="D65" s="2" t="inlineStr">
        <is>
          <t>LEGO Friends 42698 Advent Calendar 2026 42698</t>
        </is>
      </c>
      <c r="E65" s="3" t="n">
        <v>19.94</v>
      </c>
    </row>
    <row r="66">
      <c r="A66" s="2" t="inlineStr">
        <is>
          <t>Brickmo</t>
        </is>
      </c>
      <c r="B66" s="2" t="n">
        <v>42659</v>
      </c>
      <c r="C66" s="2" t="inlineStr">
        <is>
          <t>Lego Friends</t>
        </is>
      </c>
      <c r="D66" s="2" t="inlineStr">
        <is>
          <t>LEGO Friends 42659 Friendship Road-Trip Travel...</t>
        </is>
      </c>
      <c r="E66" s="3" t="n">
        <v>16.48</v>
      </c>
    </row>
    <row r="67">
      <c r="A67" s="2" t="inlineStr">
        <is>
          <t>Brickmo</t>
        </is>
      </c>
      <c r="B67" s="2" t="n">
        <v>42687</v>
      </c>
      <c r="C67" s="2" t="inlineStr">
        <is>
          <t>Lego Friends</t>
        </is>
      </c>
      <c r="D67" s="2" t="inlineStr">
        <is>
          <t>LEGO Friends 42687 Liann's Family House 42687</t>
        </is>
      </c>
      <c r="E67" s="3" t="n">
        <v>54.61</v>
      </c>
    </row>
    <row r="68">
      <c r="A68" s="2" t="inlineStr">
        <is>
          <t>Brickmo</t>
        </is>
      </c>
      <c r="B68" s="2" t="n">
        <v>42663</v>
      </c>
      <c r="C68" s="2" t="inlineStr">
        <is>
          <t>Lego Friends</t>
        </is>
      </c>
      <c r="D68" s="2" t="inlineStr">
        <is>
          <t>LEGO Friends 42663 Friendship Camper Van...</t>
        </is>
      </c>
      <c r="E68" s="3" t="n">
        <v>49.55</v>
      </c>
    </row>
    <row r="69">
      <c r="A69" s="2" t="inlineStr">
        <is>
          <t>Brickmo</t>
        </is>
      </c>
      <c r="B69" s="2" t="n">
        <v>42666</v>
      </c>
      <c r="C69" s="2" t="inlineStr">
        <is>
          <t>Lego Friends</t>
        </is>
      </c>
      <c r="D69" s="2" t="inlineStr">
        <is>
          <t>LEGO Friends 42666 Cat Birthday Party &amp; Tree...</t>
        </is>
      </c>
      <c r="E69" s="3" t="n">
        <v>22.68</v>
      </c>
    </row>
    <row r="70">
      <c r="A70" s="2" t="inlineStr">
        <is>
          <t>Brickmo</t>
        </is>
      </c>
      <c r="B70" s="2" t="n">
        <v>42652</v>
      </c>
      <c r="C70" s="2" t="inlineStr">
        <is>
          <t>Lego Friends</t>
        </is>
      </c>
      <c r="D70" s="2" t="inlineStr">
        <is>
          <t>LEGO Friends 42652 Friendship Tree House...</t>
        </is>
      </c>
      <c r="E70" s="3" t="n">
        <v>61.95</v>
      </c>
    </row>
    <row r="71">
      <c r="A71" s="2" t="inlineStr">
        <is>
          <t>Brickmo</t>
        </is>
      </c>
      <c r="B71" s="2" t="n">
        <v>42681</v>
      </c>
      <c r="C71" s="2" t="inlineStr">
        <is>
          <t>Lego Friends</t>
        </is>
      </c>
      <c r="D71" s="2" t="inlineStr">
        <is>
          <t>LEGO Friends 42681 Axolotl Adventure Boat 42681</t>
        </is>
      </c>
      <c r="E71" s="3" t="n">
        <v>8.529999999999999</v>
      </c>
    </row>
    <row r="72">
      <c r="A72" s="2" t="inlineStr">
        <is>
          <t>Brickmo</t>
        </is>
      </c>
      <c r="B72" s="2" t="n">
        <v>41713</v>
      </c>
      <c r="C72" s="2" t="inlineStr">
        <is>
          <t>Lego Friends</t>
        </is>
      </c>
      <c r="D72" s="2" t="inlineStr">
        <is>
          <t>LEGO Friends 41713 Olivia´s Space Academy 41713</t>
        </is>
      </c>
      <c r="E72" s="3" t="n">
        <v>72.28</v>
      </c>
    </row>
    <row r="73">
      <c r="A73" s="2" t="inlineStr">
        <is>
          <t>Brickmo</t>
        </is>
      </c>
      <c r="B73" s="2" t="n">
        <v>42647</v>
      </c>
      <c r="C73" s="2" t="inlineStr">
        <is>
          <t>Lego Friends</t>
        </is>
      </c>
      <c r="D73" s="2" t="inlineStr">
        <is>
          <t>LEGO Friends 42647 Paisley's Room 42647</t>
        </is>
      </c>
      <c r="E73" s="3" t="n">
        <v>20.62</v>
      </c>
    </row>
    <row r="74">
      <c r="A74" s="2" t="inlineStr">
        <is>
          <t>Brickmo</t>
        </is>
      </c>
      <c r="B74" s="2" t="n">
        <v>11382</v>
      </c>
      <c r="C74" s="2" t="inlineStr">
        <is>
          <t>Lego Icons</t>
        </is>
      </c>
      <c r="D74" s="2" t="inlineStr">
        <is>
          <t>LEGO Icons 11382 Hubble Space Telescope 11382</t>
        </is>
      </c>
      <c r="E74" s="3" t="n">
        <v>107.42</v>
      </c>
    </row>
    <row r="75">
      <c r="A75" s="2" t="inlineStr">
        <is>
          <t>Brickmo</t>
        </is>
      </c>
      <c r="B75" s="2" t="n">
        <v>11375</v>
      </c>
      <c r="C75" s="2" t="inlineStr">
        <is>
          <t>Lego Icons</t>
        </is>
      </c>
      <c r="D75" s="2" t="inlineStr">
        <is>
          <t>LEGO Icons 11375 Ferrari F2004 &amp; Michael...</t>
        </is>
      </c>
      <c r="E75" s="3" t="n">
        <v>72.28</v>
      </c>
    </row>
    <row r="76">
      <c r="A76" s="2" t="inlineStr">
        <is>
          <t>Brickmo</t>
        </is>
      </c>
      <c r="B76" s="2" t="n">
        <v>11378</v>
      </c>
      <c r="C76" s="2" t="inlineStr">
        <is>
          <t>Lego Icons</t>
        </is>
      </c>
      <c r="D76" s="2" t="inlineStr">
        <is>
          <t>LEGO Icons 11378 Douglas DC-3 PAN AM Airliner...</t>
        </is>
      </c>
      <c r="E76" s="3" t="n">
        <v>237.62</v>
      </c>
    </row>
    <row r="77">
      <c r="A77" s="2" t="inlineStr">
        <is>
          <t>Brickmo</t>
        </is>
      </c>
      <c r="B77" s="2" t="n">
        <v>11381</v>
      </c>
      <c r="C77" s="2" t="inlineStr">
        <is>
          <t>Lego Icons</t>
        </is>
      </c>
      <c r="D77" s="2" t="inlineStr">
        <is>
          <t>LEGO Icons 11381 Jaguar E-Type 11381</t>
        </is>
      </c>
      <c r="E77" s="3" t="n">
        <v>115.68</v>
      </c>
    </row>
    <row r="78">
      <c r="A78" s="2" t="inlineStr">
        <is>
          <t>Brickmo</t>
        </is>
      </c>
      <c r="B78" s="2" t="n">
        <v>11383</v>
      </c>
      <c r="C78" s="2" t="inlineStr">
        <is>
          <t>Lego Icons</t>
        </is>
      </c>
      <c r="D78" s="2" t="inlineStr">
        <is>
          <t>LEGO Icons 11383 Mayor Manor 11383</t>
        </is>
      </c>
      <c r="E78" s="3" t="n">
        <v>91.19</v>
      </c>
    </row>
    <row r="79">
      <c r="A79" s="2" t="inlineStr">
        <is>
          <t>Brickmo</t>
        </is>
      </c>
      <c r="B79" s="2" t="n">
        <v>10331</v>
      </c>
      <c r="C79" s="2" t="inlineStr">
        <is>
          <t>Lego Icons</t>
        </is>
      </c>
      <c r="D79" s="2" t="inlineStr">
        <is>
          <t>LEGO Icons 10331 Kingfisher Bird 10331</t>
        </is>
      </c>
      <c r="E79" s="3" t="n">
        <v>46.45</v>
      </c>
    </row>
    <row r="80">
      <c r="A80" s="2" t="inlineStr">
        <is>
          <t>Brickmo</t>
        </is>
      </c>
      <c r="B80" s="2" t="n">
        <v>11380</v>
      </c>
      <c r="C80" s="2" t="inlineStr">
        <is>
          <t>Lego Icons</t>
        </is>
      </c>
      <c r="D80" s="2" t="inlineStr">
        <is>
          <t>LEGO Icons 11380 Road Bike 11380</t>
        </is>
      </c>
      <c r="E80" s="3" t="n">
        <v>99.45999999999999</v>
      </c>
    </row>
    <row r="81">
      <c r="A81" s="2" t="inlineStr">
        <is>
          <t>Brickmo</t>
        </is>
      </c>
      <c r="B81" s="2" t="n">
        <v>10360</v>
      </c>
      <c r="C81" s="2" t="inlineStr">
        <is>
          <t>Lego Icons</t>
        </is>
      </c>
      <c r="D81" s="2" t="inlineStr">
        <is>
          <t>LEGO Icons 10360 Shuttle Carrier Aircraft 10360</t>
        </is>
      </c>
      <c r="E81" s="3" t="n">
        <v>237.62</v>
      </c>
    </row>
    <row r="82">
      <c r="A82" s="2" t="inlineStr">
        <is>
          <t>Brickmo</t>
        </is>
      </c>
      <c r="B82" s="2" t="n">
        <v>11371</v>
      </c>
      <c r="C82" s="2" t="inlineStr">
        <is>
          <t>Lego Icons</t>
        </is>
      </c>
      <c r="D82" s="2" t="inlineStr">
        <is>
          <t>LEGO Icons 11371 Shopping Street 11371</t>
        </is>
      </c>
      <c r="E82" s="3" t="n">
        <v>246.97</v>
      </c>
    </row>
    <row r="83">
      <c r="A83" s="2" t="inlineStr">
        <is>
          <t>Brickmo</t>
        </is>
      </c>
      <c r="B83" s="2" t="n">
        <v>10335</v>
      </c>
      <c r="C83" s="2" t="inlineStr">
        <is>
          <t>Lego Icons</t>
        </is>
      </c>
      <c r="D83" s="2" t="inlineStr">
        <is>
          <t>LEGO Icons 10335 The Endurance 10335</t>
        </is>
      </c>
      <c r="E83" s="3" t="n">
        <v>289.28</v>
      </c>
    </row>
    <row r="84">
      <c r="A84" s="2" t="inlineStr">
        <is>
          <t>Brickmo</t>
        </is>
      </c>
      <c r="B84" s="2" t="n">
        <v>10305</v>
      </c>
      <c r="C84" s="2" t="inlineStr">
        <is>
          <t>Lego Icons</t>
        </is>
      </c>
      <c r="D84" s="2" t="inlineStr">
        <is>
          <t>LEGO Icons 10305 Lion Knights' Castle 10305</t>
        </is>
      </c>
      <c r="E84" s="3" t="n">
        <v>594.17</v>
      </c>
    </row>
    <row r="85">
      <c r="A85" s="2" t="inlineStr">
        <is>
          <t>Brickmo</t>
        </is>
      </c>
      <c r="B85" s="2" t="n">
        <v>10307</v>
      </c>
      <c r="C85" s="2" t="inlineStr">
        <is>
          <t>Lego Icons</t>
        </is>
      </c>
      <c r="D85" s="2" t="inlineStr">
        <is>
          <t>LEGO Icons 10307 Eiffel Tower 10307</t>
        </is>
      </c>
      <c r="E85" s="3" t="n">
        <v>707.8200000000001</v>
      </c>
    </row>
    <row r="86">
      <c r="A86" s="2" t="inlineStr">
        <is>
          <t>Brickmo</t>
        </is>
      </c>
      <c r="B86" s="2" t="n">
        <v>11370</v>
      </c>
      <c r="C86" s="2" t="inlineStr">
        <is>
          <t>Lego Icons</t>
        </is>
      </c>
      <c r="D86" s="2" t="inlineStr">
        <is>
          <t>LEGO Icons 11370 Stranger Things: The Creel...</t>
        </is>
      </c>
      <c r="E86" s="3" t="n">
        <v>273.78</v>
      </c>
    </row>
    <row r="87">
      <c r="A87" s="2" t="inlineStr">
        <is>
          <t>Brickmo</t>
        </is>
      </c>
      <c r="B87" s="2" t="n">
        <v>10333</v>
      </c>
      <c r="C87" s="2" t="inlineStr">
        <is>
          <t>Lego Icons</t>
        </is>
      </c>
      <c r="D87" s="2" t="inlineStr">
        <is>
          <t>LEGO Icons 10333 The Lord of the Rings:...</t>
        </is>
      </c>
      <c r="E87" s="3" t="n">
        <v>501.17</v>
      </c>
    </row>
    <row r="88">
      <c r="A88" s="2" t="inlineStr">
        <is>
          <t>Brickmo</t>
        </is>
      </c>
      <c r="B88" s="2" t="n">
        <v>10337</v>
      </c>
      <c r="C88" s="2" t="inlineStr">
        <is>
          <t>Lego Icons</t>
        </is>
      </c>
      <c r="D88" s="2" t="inlineStr">
        <is>
          <t>LEGO Icons 10337 Lamborghini Countach 5000...</t>
        </is>
      </c>
      <c r="E88" s="3" t="n">
        <v>175.62</v>
      </c>
    </row>
    <row r="89">
      <c r="A89" s="2" t="inlineStr">
        <is>
          <t>Brickmo</t>
        </is>
      </c>
      <c r="B89" s="2" t="n">
        <v>43018</v>
      </c>
      <c r="C89" s="2" t="inlineStr">
        <is>
          <t>Lego Icons</t>
        </is>
      </c>
      <c r="D89" s="2" t="inlineStr">
        <is>
          <t>LEGO Editions 43018 Lionel Messi – Celebration...</t>
        </is>
      </c>
      <c r="E89" s="3" t="n">
        <v>149.78</v>
      </c>
    </row>
    <row r="90">
      <c r="A90" s="2" t="inlineStr">
        <is>
          <t>Brickmo</t>
        </is>
      </c>
      <c r="B90" s="2" t="n">
        <v>10362</v>
      </c>
      <c r="C90" s="2" t="inlineStr">
        <is>
          <t>Lego Icons</t>
        </is>
      </c>
      <c r="D90" s="2" t="inlineStr">
        <is>
          <t>LEGO Icons 10362 French Café 10362</t>
        </is>
      </c>
      <c r="E90" s="3" t="n">
        <v>65.09</v>
      </c>
    </row>
    <row r="91">
      <c r="A91" s="2" t="inlineStr">
        <is>
          <t>Brickmo</t>
        </is>
      </c>
      <c r="B91" s="2" t="n">
        <v>10328</v>
      </c>
      <c r="C91" s="2" t="inlineStr">
        <is>
          <t>Lego Icons</t>
        </is>
      </c>
      <c r="D91" s="2" t="inlineStr">
        <is>
          <t>LEGO Icons 10328 Bouquet of Roses 10328</t>
        </is>
      </c>
      <c r="E91" s="3" t="n">
        <v>49.55</v>
      </c>
    </row>
    <row r="92">
      <c r="A92" s="2" t="inlineStr">
        <is>
          <t>Brickmo</t>
        </is>
      </c>
      <c r="B92" s="2" t="n">
        <v>11384</v>
      </c>
      <c r="C92" s="2" t="inlineStr">
        <is>
          <t>Lego Icons</t>
        </is>
      </c>
      <c r="D92" s="2" t="inlineStr">
        <is>
          <t>LEGO Icons 11384 Golden Retriever Puppy 11384</t>
        </is>
      </c>
      <c r="E92" s="3" t="n">
        <v>112.63</v>
      </c>
    </row>
    <row r="93">
      <c r="A93" s="2" t="inlineStr">
        <is>
          <t>Brickmo</t>
        </is>
      </c>
      <c r="B93" s="2" t="n">
        <v>11373</v>
      </c>
      <c r="C93" s="2" t="inlineStr">
        <is>
          <t>Lego Icons</t>
        </is>
      </c>
      <c r="D93" s="2" t="inlineStr">
        <is>
          <t>LEGO Icons 11373 The Lord of the Rings:...</t>
        </is>
      </c>
      <c r="E93" s="3" t="n">
        <v>61.95</v>
      </c>
    </row>
    <row r="94">
      <c r="A94" s="2" t="inlineStr">
        <is>
          <t>Brickmo</t>
        </is>
      </c>
      <c r="B94" s="2" t="n">
        <v>11376</v>
      </c>
      <c r="C94" s="2" t="inlineStr">
        <is>
          <t>Lego Icons</t>
        </is>
      </c>
      <c r="D94" s="2" t="inlineStr">
        <is>
          <t>LEGO Icons 11376 Ford Model T 11376</t>
        </is>
      </c>
      <c r="E94" s="3" t="n">
        <v>108.45</v>
      </c>
    </row>
    <row r="95">
      <c r="A95" s="2" t="inlineStr">
        <is>
          <t>Brickmo</t>
        </is>
      </c>
      <c r="B95" s="2" t="n">
        <v>10356</v>
      </c>
      <c r="C95" s="2" t="inlineStr">
        <is>
          <t>Lego Icons</t>
        </is>
      </c>
      <c r="D95" s="2" t="inlineStr">
        <is>
          <t>LEGO Icons 10356 Star Trek: U.S.S. Enterprise...</t>
        </is>
      </c>
      <c r="E95" s="3" t="n">
        <v>392.66</v>
      </c>
    </row>
    <row r="96">
      <c r="A96" s="2" t="inlineStr">
        <is>
          <t>Brickmo</t>
        </is>
      </c>
      <c r="B96" s="2" t="n">
        <v>10365</v>
      </c>
      <c r="C96" s="2" t="inlineStr">
        <is>
          <t>Lego Icons</t>
        </is>
      </c>
      <c r="D96" s="2" t="inlineStr">
        <is>
          <t>LEGO Icons 10365 Captain Jack Sparrow's Pirate...</t>
        </is>
      </c>
      <c r="E96" s="3" t="n">
        <v>361.66</v>
      </c>
    </row>
    <row r="97">
      <c r="A97" s="2" t="inlineStr">
        <is>
          <t>Brickmo</t>
        </is>
      </c>
      <c r="B97" s="2" t="n">
        <v>10315</v>
      </c>
      <c r="C97" s="2" t="inlineStr">
        <is>
          <t>Lego Icons</t>
        </is>
      </c>
      <c r="D97" s="2" t="inlineStr">
        <is>
          <t>LEGO Icons 10315 Tranquil Garden 10315</t>
        </is>
      </c>
      <c r="E97" s="3" t="n">
        <v>98.12</v>
      </c>
    </row>
    <row r="98">
      <c r="A98" s="2" t="inlineStr">
        <is>
          <t>bricksdirect</t>
        </is>
      </c>
      <c r="B98" s="2" t="n">
        <v>60512</v>
      </c>
      <c r="C98" s="2" t="inlineStr">
        <is>
          <t>Lego City</t>
        </is>
      </c>
      <c r="D98" s="2" t="inlineStr">
        <is>
          <t>LEGO 60512 Mountain Bike Adventure Van</t>
        </is>
      </c>
      <c r="E98" s="3" t="n">
        <v>30.49</v>
      </c>
    </row>
    <row r="99">
      <c r="A99" s="2" t="inlineStr">
        <is>
          <t>bricksdirect</t>
        </is>
      </c>
      <c r="B99" s="2" t="n">
        <v>60511</v>
      </c>
      <c r="C99" s="2" t="inlineStr">
        <is>
          <t>Lego City</t>
        </is>
      </c>
      <c r="D99" s="2" t="inlineStr">
        <is>
          <t>LEGO 60511 Vintage Steam Train</t>
        </is>
      </c>
      <c r="E99" s="3" t="n">
        <v>78.26000000000001</v>
      </c>
    </row>
    <row r="100">
      <c r="A100" s="2" t="inlineStr">
        <is>
          <t>bricksdirect</t>
        </is>
      </c>
      <c r="B100" s="2" t="n">
        <v>60510</v>
      </c>
      <c r="C100" s="2" t="inlineStr">
        <is>
          <t>Lego City</t>
        </is>
      </c>
      <c r="D100" s="2" t="inlineStr">
        <is>
          <t>LEGO 60510 Advent Calendar 2026, City (Pre order, will be shipped on 01/09/2026)</t>
        </is>
      </c>
      <c r="E100" s="3" t="n">
        <v>23.37</v>
      </c>
    </row>
    <row r="101">
      <c r="A101" s="2" t="inlineStr">
        <is>
          <t>bricksdirect</t>
        </is>
      </c>
      <c r="B101" s="2" t="n">
        <v>60509</v>
      </c>
      <c r="C101" s="2" t="inlineStr">
        <is>
          <t>Lego City</t>
        </is>
      </c>
      <c r="D101" s="2" t="inlineStr">
        <is>
          <t>LEGO 60509 Harbor Freight Train with Crane &amp; Truck</t>
        </is>
      </c>
      <c r="E101" s="3" t="n">
        <v>111.81</v>
      </c>
    </row>
    <row r="102">
      <c r="A102" s="2" t="inlineStr">
        <is>
          <t>bricksdirect</t>
        </is>
      </c>
      <c r="B102" s="2" t="n">
        <v>60508</v>
      </c>
      <c r="C102" s="2" t="inlineStr">
        <is>
          <t>Lego City</t>
        </is>
      </c>
      <c r="D102" s="2" t="inlineStr">
        <is>
          <t>LEGO 60508 Police Train Heist</t>
        </is>
      </c>
      <c r="E102" s="3" t="n">
        <v>172.8</v>
      </c>
    </row>
    <row r="103">
      <c r="A103" s="2" t="inlineStr">
        <is>
          <t>bricksdirect</t>
        </is>
      </c>
      <c r="B103" s="2" t="n">
        <v>60506</v>
      </c>
      <c r="C103" s="2" t="inlineStr">
        <is>
          <t>Lego City</t>
        </is>
      </c>
      <c r="D103" s="2" t="inlineStr">
        <is>
          <t>LEGO 60506 Classic Beach Streetcar</t>
        </is>
      </c>
      <c r="E103" s="3" t="n">
        <v>60.98</v>
      </c>
    </row>
    <row r="104">
      <c r="A104" s="2" t="inlineStr">
        <is>
          <t>bricksdirect</t>
        </is>
      </c>
      <c r="B104" s="2" t="n">
        <v>60505</v>
      </c>
      <c r="C104" s="2" t="inlineStr">
        <is>
          <t>Lego City</t>
        </is>
      </c>
      <c r="D104" s="2" t="inlineStr">
        <is>
          <t>LEGO 60505 Airplane, Service Truck &amp; Hovercraft Remix</t>
        </is>
      </c>
      <c r="E104" s="3" t="n">
        <v>60.98</v>
      </c>
    </row>
    <row r="105">
      <c r="A105" s="2" t="inlineStr">
        <is>
          <t>bricksdirect</t>
        </is>
      </c>
      <c r="B105" s="2" t="n">
        <v>60504</v>
      </c>
      <c r="C105" s="2" t="inlineStr">
        <is>
          <t>Lego City</t>
        </is>
      </c>
      <c r="D105" s="2" t="inlineStr">
        <is>
          <t>LEGO 60504 Coast Guard Rescue Boat &amp; Helicopter</t>
        </is>
      </c>
      <c r="E105" s="3" t="n">
        <v>95.54000000000001</v>
      </c>
    </row>
    <row r="106">
      <c r="A106" s="2" t="inlineStr">
        <is>
          <t>bricksdirect</t>
        </is>
      </c>
      <c r="B106" s="2" t="n">
        <v>60503</v>
      </c>
      <c r="C106" s="2" t="inlineStr">
        <is>
          <t>Lego City</t>
        </is>
      </c>
      <c r="D106" s="2" t="inlineStr">
        <is>
          <t>LEGO 60503 Coast Guard Helicopter</t>
        </is>
      </c>
      <c r="E106" s="3" t="n">
        <v>51.83</v>
      </c>
    </row>
    <row r="107">
      <c r="A107" s="2" t="inlineStr">
        <is>
          <t>bricksdirect</t>
        </is>
      </c>
      <c r="B107" s="2" t="n">
        <v>60502</v>
      </c>
      <c r="C107" s="2" t="inlineStr">
        <is>
          <t>Lego City</t>
        </is>
      </c>
      <c r="D107" s="2" t="inlineStr">
        <is>
          <t>LEGO 60502 Airport with Airplane</t>
        </is>
      </c>
      <c r="E107" s="3" t="n">
        <v>101.64</v>
      </c>
    </row>
    <row r="108">
      <c r="A108" s="2" t="inlineStr">
        <is>
          <t>bricksdirect</t>
        </is>
      </c>
      <c r="B108" s="2" t="n">
        <v>60501</v>
      </c>
      <c r="C108" s="2" t="inlineStr">
        <is>
          <t>Lego City</t>
        </is>
      </c>
      <c r="D108" s="2" t="inlineStr">
        <is>
          <t>LEGO 60501 Lava Land Roller Coaster Park</t>
        </is>
      </c>
      <c r="E108" s="3" t="n">
        <v>111.81</v>
      </c>
    </row>
    <row r="109">
      <c r="A109" s="2" t="inlineStr">
        <is>
          <t>bricksdirect</t>
        </is>
      </c>
      <c r="B109" s="2" t="n">
        <v>60500</v>
      </c>
      <c r="C109" s="2" t="inlineStr">
        <is>
          <t>Lego City</t>
        </is>
      </c>
      <c r="D109" s="2" t="inlineStr">
        <is>
          <t>LEGO 60500 The Van</t>
        </is>
      </c>
      <c r="E109" s="3" t="n">
        <v>26.42</v>
      </c>
    </row>
    <row r="110">
      <c r="A110" s="2" t="inlineStr">
        <is>
          <t>bricksdirect</t>
        </is>
      </c>
      <c r="B110" s="2" t="n">
        <v>60499</v>
      </c>
      <c r="C110" s="2" t="inlineStr">
        <is>
          <t>Lego City</t>
        </is>
      </c>
      <c r="D110" s="2" t="inlineStr">
        <is>
          <t>LEGO 60499 Airport Fire Truck</t>
        </is>
      </c>
      <c r="E110" s="3" t="n">
        <v>71.15000000000001</v>
      </c>
    </row>
    <row r="111">
      <c r="A111" s="2" t="inlineStr">
        <is>
          <t>bricksdirect</t>
        </is>
      </c>
      <c r="B111" s="2" t="n">
        <v>60498</v>
      </c>
      <c r="C111" s="2" t="inlineStr">
        <is>
          <t>Lego City</t>
        </is>
      </c>
      <c r="D111" s="2" t="inlineStr">
        <is>
          <t>LEGO 60498 Tractor</t>
        </is>
      </c>
      <c r="E111" s="3" t="n">
        <v>17.27</v>
      </c>
    </row>
    <row r="112">
      <c r="A112" s="2" t="inlineStr">
        <is>
          <t>bricksdirect</t>
        </is>
      </c>
      <c r="B112" s="2" t="n">
        <v>60497</v>
      </c>
      <c r="C112" s="2" t="inlineStr">
        <is>
          <t>Lego City</t>
        </is>
      </c>
      <c r="D112" s="2" t="inlineStr">
        <is>
          <t>LEGO 60497 Drive-Through Car Wash</t>
        </is>
      </c>
      <c r="E112" s="3" t="n">
        <v>47.77</v>
      </c>
    </row>
    <row r="113">
      <c r="A113" s="2" t="inlineStr">
        <is>
          <t>bricksdirect</t>
        </is>
      </c>
      <c r="B113" s="2" t="n">
        <v>60496</v>
      </c>
      <c r="C113" s="2" t="inlineStr">
        <is>
          <t>Lego City</t>
        </is>
      </c>
      <c r="D113" s="2" t="inlineStr">
        <is>
          <t>LEGO 60496 Pizza Delivery Experience with Vehicles</t>
        </is>
      </c>
      <c r="E113" s="3" t="n">
        <v>43.7</v>
      </c>
    </row>
    <row r="114">
      <c r="A114" s="2" t="inlineStr">
        <is>
          <t>bricksdirect</t>
        </is>
      </c>
      <c r="B114" s="2" t="n">
        <v>60495</v>
      </c>
      <c r="C114" s="2" t="inlineStr">
        <is>
          <t>Lego City</t>
        </is>
      </c>
      <c r="D114" s="2" t="inlineStr">
        <is>
          <t>LEGO 60495 Recycling Truck</t>
        </is>
      </c>
      <c r="E114" s="3" t="n">
        <v>55.9</v>
      </c>
    </row>
    <row r="115">
      <c r="A115" s="2" t="inlineStr">
        <is>
          <t>bricksdirect</t>
        </is>
      </c>
      <c r="B115" s="2" t="n">
        <v>60494</v>
      </c>
      <c r="C115" s="2" t="inlineStr">
        <is>
          <t>Lego City</t>
        </is>
      </c>
      <c r="D115" s="2" t="inlineStr">
        <is>
          <t>LEGO 60494 Dump Truck &amp; Front End Loader</t>
        </is>
      </c>
      <c r="E115" s="3" t="n">
        <v>103.68</v>
      </c>
    </row>
    <row r="116">
      <c r="A116" s="2" t="inlineStr">
        <is>
          <t>bricksdirect</t>
        </is>
      </c>
      <c r="B116" s="2" t="n">
        <v>60493</v>
      </c>
      <c r="C116" s="2" t="inlineStr">
        <is>
          <t>Lego City</t>
        </is>
      </c>
      <c r="D116" s="2" t="inlineStr">
        <is>
          <t>LEGO 60493 F1 Display Truck with Audi F1 Race Car</t>
        </is>
      </c>
      <c r="E116" s="3" t="n">
        <v>39.63</v>
      </c>
    </row>
    <row r="117">
      <c r="A117" s="2" t="inlineStr">
        <is>
          <t>bricksdirect</t>
        </is>
      </c>
      <c r="B117" s="2" t="n">
        <v>60492</v>
      </c>
      <c r="C117" s="2" t="inlineStr">
        <is>
          <t>Lego City</t>
        </is>
      </c>
      <c r="D117" s="2" t="inlineStr">
        <is>
          <t>LEGO 60492 Passenger Jet</t>
        </is>
      </c>
      <c r="E117" s="3" t="n">
        <v>26.42</v>
      </c>
    </row>
    <row r="118">
      <c r="A118" s="2" t="inlineStr">
        <is>
          <t>bricksdirect</t>
        </is>
      </c>
      <c r="B118" s="2" t="n">
        <v>60491</v>
      </c>
      <c r="C118" s="2" t="inlineStr">
        <is>
          <t>Lego City</t>
        </is>
      </c>
      <c r="D118" s="2" t="inlineStr">
        <is>
          <t>LEGO 60491 Motorcycle Transporter</t>
        </is>
      </c>
      <c r="E118" s="3" t="n">
        <v>17.27</v>
      </c>
    </row>
    <row r="119">
      <c r="A119" s="2" t="inlineStr">
        <is>
          <t>bricksdirect</t>
        </is>
      </c>
      <c r="B119" s="2" t="n">
        <v>60490</v>
      </c>
      <c r="C119" s="2" t="inlineStr">
        <is>
          <t>Lego City</t>
        </is>
      </c>
      <c r="D119" s="2" t="inlineStr">
        <is>
          <t>LEGO 60490 Snowplow</t>
        </is>
      </c>
      <c r="E119" s="3" t="n">
        <v>22.35</v>
      </c>
    </row>
    <row r="120">
      <c r="A120" s="2" t="inlineStr">
        <is>
          <t>bricksdirect</t>
        </is>
      </c>
      <c r="B120" s="2" t="n">
        <v>60489</v>
      </c>
      <c r="C120" s="2" t="inlineStr">
        <is>
          <t>Lego City</t>
        </is>
      </c>
      <c r="D120" s="2" t="inlineStr">
        <is>
          <t>LEGO 60489 Jet vs. Car</t>
        </is>
      </c>
      <c r="E120" s="3" t="n">
        <v>26.42</v>
      </c>
    </row>
    <row r="121">
      <c r="A121" s="2" t="inlineStr">
        <is>
          <t>bricksdirect</t>
        </is>
      </c>
      <c r="B121" s="2" t="n">
        <v>60488</v>
      </c>
      <c r="C121" s="2" t="inlineStr">
        <is>
          <t>Lego City</t>
        </is>
      </c>
      <c r="D121" s="2" t="inlineStr">
        <is>
          <t>LEGO 60488 Fries Food Truck</t>
        </is>
      </c>
      <c r="E121" s="3" t="n">
        <v>20.32</v>
      </c>
    </row>
    <row r="122">
      <c r="A122" s="2" t="inlineStr">
        <is>
          <t>bricksdirect</t>
        </is>
      </c>
      <c r="B122" s="2" t="n">
        <v>60487</v>
      </c>
      <c r="C122" s="2" t="inlineStr">
        <is>
          <t>Lego City</t>
        </is>
      </c>
      <c r="D122" s="2" t="inlineStr">
        <is>
          <t>LEGO 60487 Yellow Taxi</t>
        </is>
      </c>
      <c r="E122" s="3" t="n">
        <v>15.24</v>
      </c>
    </row>
    <row r="123">
      <c r="A123" s="2" t="inlineStr">
        <is>
          <t>bricksdirect</t>
        </is>
      </c>
      <c r="B123" s="2" t="n">
        <v>60486</v>
      </c>
      <c r="C123" s="2" t="inlineStr">
        <is>
          <t>Lego City</t>
        </is>
      </c>
      <c r="D123" s="2" t="inlineStr">
        <is>
          <t>LEGO 60486 EV Supercar</t>
        </is>
      </c>
      <c r="E123" s="3" t="n">
        <v>9.140000000000001</v>
      </c>
    </row>
    <row r="124">
      <c r="A124" s="2" t="inlineStr">
        <is>
          <t>bricksdirect</t>
        </is>
      </c>
      <c r="B124" s="2" t="n">
        <v>60485</v>
      </c>
      <c r="C124" s="2" t="inlineStr">
        <is>
          <t>Lego City</t>
        </is>
      </c>
      <c r="D124" s="2" t="inlineStr">
        <is>
          <t>LEGO 60485 Hot Rod</t>
        </is>
      </c>
      <c r="E124" s="3" t="n">
        <v>9.140000000000001</v>
      </c>
    </row>
    <row r="125">
      <c r="A125" s="2" t="inlineStr">
        <is>
          <t>bricksdirect</t>
        </is>
      </c>
      <c r="B125" s="2" t="n">
        <v>60484</v>
      </c>
      <c r="C125" s="2" t="inlineStr">
        <is>
          <t>Lego City</t>
        </is>
      </c>
      <c r="D125" s="2" t="inlineStr">
        <is>
          <t>LEGO 60484 Rides – Gaming Race Car</t>
        </is>
      </c>
      <c r="E125" s="3" t="n">
        <v>9.140000000000001</v>
      </c>
    </row>
    <row r="126">
      <c r="A126" s="2" t="inlineStr">
        <is>
          <t>bricksdirect</t>
        </is>
      </c>
      <c r="B126" s="2" t="n">
        <v>60483</v>
      </c>
      <c r="C126" s="2" t="inlineStr">
        <is>
          <t>Lego City</t>
        </is>
      </c>
      <c r="D126" s="2" t="inlineStr">
        <is>
          <t>LEGO 60483 Rides – Construction Loader</t>
        </is>
      </c>
      <c r="E126" s="3" t="n">
        <v>9.140000000000001</v>
      </c>
    </row>
    <row r="127">
      <c r="A127" s="2" t="inlineStr">
        <is>
          <t>bricksdirect</t>
        </is>
      </c>
      <c r="B127" s="2" t="n">
        <v>60482</v>
      </c>
      <c r="C127" s="2" t="inlineStr">
        <is>
          <t>Lego City</t>
        </is>
      </c>
      <c r="D127" s="2" t="inlineStr">
        <is>
          <t>LEGO 60482 Rides – Fire Truck</t>
        </is>
      </c>
      <c r="E127" s="3" t="n">
        <v>9.140000000000001</v>
      </c>
    </row>
    <row r="128">
      <c r="A128" s="2" t="inlineStr">
        <is>
          <t>bricksdirect</t>
        </is>
      </c>
      <c r="B128" s="2" t="n">
        <v>60481</v>
      </c>
      <c r="C128" s="2" t="inlineStr">
        <is>
          <t>Lego City</t>
        </is>
      </c>
      <c r="D128" s="2" t="inlineStr">
        <is>
          <t>LEGO 60481 Rides – Police Truck</t>
        </is>
      </c>
      <c r="E128" s="3" t="n">
        <v>9.140000000000001</v>
      </c>
    </row>
    <row r="129">
      <c r="A129" s="2" t="inlineStr">
        <is>
          <t>bricksdirect</t>
        </is>
      </c>
      <c r="B129" s="2" t="n">
        <v>60480</v>
      </c>
      <c r="C129" s="2" t="inlineStr">
        <is>
          <t>Lego City</t>
        </is>
      </c>
      <c r="D129" s="2" t="inlineStr">
        <is>
          <t>LEGO 60480 Yellow Backhoe Loader</t>
        </is>
      </c>
      <c r="E129" s="3" t="n">
        <v>26.42</v>
      </c>
    </row>
    <row r="130">
      <c r="A130" s="2" t="inlineStr">
        <is>
          <t>bricksdirect</t>
        </is>
      </c>
      <c r="B130" s="2" t="n">
        <v>60479</v>
      </c>
      <c r="C130" s="2" t="inlineStr">
        <is>
          <t>Lego City</t>
        </is>
      </c>
      <c r="D130" s="2" t="inlineStr">
        <is>
          <t>LEGO 60479 Police Prisoner Transport Van</t>
        </is>
      </c>
      <c r="E130" s="3" t="n">
        <v>17.27</v>
      </c>
    </row>
    <row r="131">
      <c r="A131" s="2" t="inlineStr">
        <is>
          <t>bricksdirect</t>
        </is>
      </c>
      <c r="B131" s="2" t="n">
        <v>60478</v>
      </c>
      <c r="C131" s="2" t="inlineStr">
        <is>
          <t>Lego City</t>
        </is>
      </c>
      <c r="D131" s="2" t="inlineStr">
        <is>
          <t>LEGO 60478 Cement Mixer</t>
        </is>
      </c>
      <c r="E131" s="3" t="n">
        <v>34.55</v>
      </c>
    </row>
    <row r="132">
      <c r="A132" s="2" t="inlineStr">
        <is>
          <t>bricksdirect</t>
        </is>
      </c>
      <c r="B132" s="2" t="n">
        <v>60474</v>
      </c>
      <c r="C132" s="2" t="inlineStr">
        <is>
          <t>Lego City</t>
        </is>
      </c>
      <c r="D132" s="2" t="inlineStr">
        <is>
          <t>LEGO 60474 F1 Grid with VCARB &amp; Sauber Race Cars</t>
        </is>
      </c>
      <c r="E132" s="3" t="n">
        <v>40.65</v>
      </c>
    </row>
    <row r="133">
      <c r="A133" s="2" t="inlineStr">
        <is>
          <t>bricksdirect</t>
        </is>
      </c>
      <c r="B133" s="2" t="n">
        <v>60473</v>
      </c>
      <c r="C133" s="2" t="inlineStr">
        <is>
          <t>Lego City</t>
        </is>
      </c>
      <c r="D133" s="2" t="inlineStr">
        <is>
          <t>LEGO 60473 The City Tower</t>
        </is>
      </c>
      <c r="E133" s="3" t="n">
        <v>213.46</v>
      </c>
    </row>
    <row r="134">
      <c r="A134" s="2" t="inlineStr">
        <is>
          <t>bricksdirect</t>
        </is>
      </c>
      <c r="B134" s="2" t="n">
        <v>75535</v>
      </c>
      <c r="C134" s="2" t="inlineStr">
        <is>
          <t>Lego Star Wars</t>
        </is>
      </c>
      <c r="D134" s="2" t="inlineStr">
        <is>
          <t>LEGO 75535 Han Solo</t>
        </is>
      </c>
      <c r="E134" s="3" t="n">
        <v>30.49</v>
      </c>
    </row>
    <row r="135">
      <c r="A135" s="2" t="inlineStr">
        <is>
          <t>bricksdirect</t>
        </is>
      </c>
      <c r="B135" s="2" t="n">
        <v>75528</v>
      </c>
      <c r="C135" s="2" t="inlineStr">
        <is>
          <t>Lego Star Wars</t>
        </is>
      </c>
      <c r="D135" s="2" t="inlineStr">
        <is>
          <t>LEGO 75528 Rey</t>
        </is>
      </c>
      <c r="E135" s="3" t="n">
        <v>25.4</v>
      </c>
    </row>
    <row r="136">
      <c r="A136" s="2" t="inlineStr">
        <is>
          <t>bricksdirect</t>
        </is>
      </c>
      <c r="B136" s="2" t="n">
        <v>75525</v>
      </c>
      <c r="C136" s="2" t="inlineStr">
        <is>
          <t>Lego Star Wars</t>
        </is>
      </c>
      <c r="D136" s="2" t="inlineStr">
        <is>
          <t>LEGO 75525 Baze Malbus</t>
        </is>
      </c>
      <c r="E136" s="3" t="n">
        <v>20.32</v>
      </c>
    </row>
    <row r="137">
      <c r="A137" s="2" t="inlineStr">
        <is>
          <t>bricksdirect</t>
        </is>
      </c>
      <c r="B137" s="2" t="n">
        <v>75524</v>
      </c>
      <c r="C137" s="2" t="inlineStr">
        <is>
          <t>Lego Star Wars</t>
        </is>
      </c>
      <c r="D137" s="2" t="inlineStr">
        <is>
          <t>LEGO 75524 Chirrut Îmwe</t>
        </is>
      </c>
      <c r="E137" s="3" t="n">
        <v>20.32</v>
      </c>
    </row>
    <row r="138">
      <c r="A138" s="2" t="inlineStr">
        <is>
          <t>bricksdirect</t>
        </is>
      </c>
      <c r="B138" s="2" t="n">
        <v>75461</v>
      </c>
      <c r="C138" s="2" t="inlineStr">
        <is>
          <t>Lego Star Wars</t>
        </is>
      </c>
      <c r="D138" s="2" t="inlineStr">
        <is>
          <t>LEGO 75461 Up-Scaled Darth Vader Minifigure</t>
        </is>
      </c>
      <c r="E138" s="3" t="n">
        <v>111.81</v>
      </c>
    </row>
    <row r="139">
      <c r="A139" s="2" t="inlineStr">
        <is>
          <t>bricksdirect</t>
        </is>
      </c>
      <c r="B139" s="2" t="n">
        <v>75460</v>
      </c>
      <c r="C139" s="2" t="inlineStr">
        <is>
          <t>Lego Star Wars</t>
        </is>
      </c>
      <c r="D139" s="2" t="inlineStr">
        <is>
          <t>LEGO 75460 New Republic X-Wing Starfighter</t>
        </is>
      </c>
      <c r="E139" s="3" t="n">
        <v>81.31</v>
      </c>
    </row>
    <row r="140">
      <c r="A140" s="2" t="inlineStr">
        <is>
          <t>bricksdirect</t>
        </is>
      </c>
      <c r="B140" s="2" t="n">
        <v>75459</v>
      </c>
      <c r="C140" s="2" t="inlineStr">
        <is>
          <t>Lego Star Wars</t>
        </is>
      </c>
      <c r="D140" s="2" t="inlineStr">
        <is>
          <t>LEGO 75459 Imperial Lambda-Class Shuttle</t>
        </is>
      </c>
      <c r="E140" s="3" t="n">
        <v>162.63</v>
      </c>
    </row>
    <row r="141">
      <c r="A141" s="2" t="inlineStr">
        <is>
          <t>bricksdirect</t>
        </is>
      </c>
      <c r="B141" s="2" t="n">
        <v>75458</v>
      </c>
      <c r="C141" s="2" t="inlineStr">
        <is>
          <t>Lego Star Wars</t>
        </is>
      </c>
      <c r="D141" s="2" t="inlineStr">
        <is>
          <t>LEGO 75458 Imperial Remnant AT-RT Driver Helmet</t>
        </is>
      </c>
      <c r="E141" s="3" t="n">
        <v>81.31</v>
      </c>
    </row>
    <row r="142">
      <c r="A142" s="2" t="inlineStr">
        <is>
          <t>bricksdirect</t>
        </is>
      </c>
      <c r="B142" s="2" t="n">
        <v>75456</v>
      </c>
      <c r="C142" s="2" t="inlineStr">
        <is>
          <t>Lego Star Wars</t>
        </is>
      </c>
      <c r="D142" s="2" t="inlineStr">
        <is>
          <t>LEGO 75456 Advent Calendar 2026, Star Wars (Pre order, will be shipped on 01/09/2026)</t>
        </is>
      </c>
      <c r="E142" s="3" t="n">
        <v>30.49</v>
      </c>
    </row>
    <row r="143">
      <c r="A143" s="2" t="inlineStr">
        <is>
          <t>bricksdirect</t>
        </is>
      </c>
      <c r="B143" s="2" t="n">
        <v>75455</v>
      </c>
      <c r="C143" s="2" t="inlineStr">
        <is>
          <t>Lego Star Wars</t>
        </is>
      </c>
      <c r="D143" s="2" t="inlineStr">
        <is>
          <t>LEGO 75455 Boba Fett (Pre order, will be shipped on 01/08/2026)</t>
        </is>
      </c>
      <c r="E143" s="3" t="n">
        <v>147.39</v>
      </c>
    </row>
    <row r="144">
      <c r="A144" s="2" t="inlineStr">
        <is>
          <t>bricksdirect</t>
        </is>
      </c>
      <c r="B144" s="2" t="n">
        <v>75454</v>
      </c>
      <c r="C144" s="2" t="inlineStr">
        <is>
          <t>Lego Star Wars</t>
        </is>
      </c>
      <c r="D144" s="2" t="inlineStr">
        <is>
          <t>LEGO 75454 Imperial Remnant AT-AT with INT-4 (Pre order, will be shipped on 01/08/2026)</t>
        </is>
      </c>
      <c r="E144" s="3" t="n">
        <v>138.24</v>
      </c>
    </row>
    <row r="145">
      <c r="A145" s="2" t="inlineStr">
        <is>
          <t>bricksdirect</t>
        </is>
      </c>
      <c r="B145" s="2" t="n">
        <v>75453</v>
      </c>
      <c r="C145" s="2" t="inlineStr">
        <is>
          <t>Lego Star Wars</t>
        </is>
      </c>
      <c r="D145" s="2" t="inlineStr">
        <is>
          <t>LEGO 75453 Offworld Sandcrawler and Mudhorn (Pre order, will be shipped on 01/08/2026)</t>
        </is>
      </c>
      <c r="E145" s="3" t="n">
        <v>172.8</v>
      </c>
    </row>
    <row r="146">
      <c r="A146" s="2" t="inlineStr">
        <is>
          <t>bricksdirect</t>
        </is>
      </c>
      <c r="B146" s="2" t="n">
        <v>75452</v>
      </c>
      <c r="C146" s="2" t="inlineStr">
        <is>
          <t>Lego Star Wars</t>
        </is>
      </c>
      <c r="D146" s="2" t="inlineStr">
        <is>
          <t>LEGO 75452 BB-8 Astromech Droid</t>
        </is>
      </c>
      <c r="E146" s="3" t="n">
        <v>78.26000000000001</v>
      </c>
    </row>
    <row r="147">
      <c r="A147" s="2" t="inlineStr">
        <is>
          <t>bricksdirect</t>
        </is>
      </c>
      <c r="B147" s="2" t="n">
        <v>75451</v>
      </c>
      <c r="C147" s="2" t="inlineStr">
        <is>
          <t>Lego Star Wars</t>
        </is>
      </c>
      <c r="D147" s="2" t="inlineStr">
        <is>
          <t>LEGO 75451 Hutt Palace Sentry Droid Showdown (Pre order, will be shipped on 01/08/2026)</t>
        </is>
      </c>
      <c r="E147" s="3" t="n">
        <v>43.7</v>
      </c>
    </row>
    <row r="148">
      <c r="A148" s="2" t="inlineStr">
        <is>
          <t>bricksdirect</t>
        </is>
      </c>
      <c r="B148" s="2" t="n">
        <v>75449</v>
      </c>
      <c r="C148" s="2" t="inlineStr">
        <is>
          <t>Lego Star Wars</t>
        </is>
      </c>
      <c r="D148" s="2" t="inlineStr">
        <is>
          <t>LEGO 75449 Siege of Mandalore Battle Pack</t>
        </is>
      </c>
      <c r="E148" s="3" t="n">
        <v>20.32</v>
      </c>
    </row>
    <row r="149">
      <c r="A149" s="2" t="inlineStr">
        <is>
          <t>bricksdirect</t>
        </is>
      </c>
      <c r="B149" s="2" t="n">
        <v>75448</v>
      </c>
      <c r="C149" s="2" t="inlineStr">
        <is>
          <t>Lego Star Wars</t>
        </is>
      </c>
      <c r="D149" s="2" t="inlineStr">
        <is>
          <t>LEGO 75448 Clone Shock Trooper Mech</t>
        </is>
      </c>
      <c r="E149" s="3" t="n">
        <v>15.24</v>
      </c>
    </row>
    <row r="150">
      <c r="A150" s="2" t="inlineStr">
        <is>
          <t>bricksdirect</t>
        </is>
      </c>
      <c r="B150" s="2" t="n">
        <v>75447</v>
      </c>
      <c r="C150" s="2" t="inlineStr">
        <is>
          <t>Lego Star Wars</t>
        </is>
      </c>
      <c r="D150" s="2" t="inlineStr">
        <is>
          <t>LEGO 75447 The Razor Crest</t>
        </is>
      </c>
      <c r="E150" s="3" t="n">
        <v>130.1</v>
      </c>
    </row>
    <row r="151">
      <c r="A151" s="2" t="inlineStr">
        <is>
          <t>bricksdirect</t>
        </is>
      </c>
      <c r="B151" s="2" t="n">
        <v>75446</v>
      </c>
      <c r="C151" s="2" t="inlineStr">
        <is>
          <t>Lego Star Wars</t>
        </is>
      </c>
      <c r="D151" s="2" t="inlineStr">
        <is>
          <t>LEGO 75446 Grogu (Mandalorian Apprentice)</t>
        </is>
      </c>
      <c r="E151" s="3" t="n">
        <v>112.83</v>
      </c>
    </row>
    <row r="152">
      <c r="A152" s="2" t="inlineStr">
        <is>
          <t>bricksdirect</t>
        </is>
      </c>
      <c r="B152" s="2" t="n">
        <v>75445</v>
      </c>
      <c r="C152" s="2" t="inlineStr">
        <is>
          <t>Lego Star Wars</t>
        </is>
      </c>
      <c r="D152" s="2" t="inlineStr">
        <is>
          <t>LEGO 75445 Anzellan Starship</t>
        </is>
      </c>
      <c r="E152" s="3" t="n">
        <v>65.05</v>
      </c>
    </row>
    <row r="153">
      <c r="A153" s="2" t="inlineStr">
        <is>
          <t>bricksdirect</t>
        </is>
      </c>
      <c r="B153" s="2" t="n">
        <v>75444</v>
      </c>
      <c r="C153" s="2" t="inlineStr">
        <is>
          <t>Lego Star Wars</t>
        </is>
      </c>
      <c r="D153" s="2" t="inlineStr">
        <is>
          <t>LEGO 75444 AT-RT Attack</t>
        </is>
      </c>
      <c r="E153" s="3" t="n">
        <v>39.63</v>
      </c>
    </row>
    <row r="154">
      <c r="A154" s="2" t="inlineStr">
        <is>
          <t>bricksdirect</t>
        </is>
      </c>
      <c r="B154" s="2" t="n">
        <v>75443</v>
      </c>
      <c r="C154" s="2" t="inlineStr">
        <is>
          <t>Lego Star Wars</t>
        </is>
      </c>
      <c r="D154" s="2" t="inlineStr">
        <is>
          <t>LEGO 75443 Grogu’s Homestead</t>
        </is>
      </c>
      <c r="E154" s="3" t="n">
        <v>17.27</v>
      </c>
    </row>
    <row r="155">
      <c r="A155" s="2" t="inlineStr">
        <is>
          <t>bricksdirect</t>
        </is>
      </c>
      <c r="B155" s="2" t="n">
        <v>75442</v>
      </c>
      <c r="C155" s="2" t="inlineStr">
        <is>
          <t>Lego Star Wars</t>
        </is>
      </c>
      <c r="D155" s="2" t="inlineStr">
        <is>
          <t>LEGO 75442 The Mandalorian’s N-1 Starfighter</t>
        </is>
      </c>
      <c r="E155" s="3" t="n">
        <v>284.62</v>
      </c>
    </row>
    <row r="156">
      <c r="A156" s="2" t="inlineStr">
        <is>
          <t>bricksdirect</t>
        </is>
      </c>
      <c r="B156" s="2" t="n">
        <v>75441</v>
      </c>
      <c r="C156" s="2" t="inlineStr">
        <is>
          <t>Lego Star Wars</t>
        </is>
      </c>
      <c r="D156" s="2" t="inlineStr">
        <is>
          <t>LEGO 75441 Venator-Class Attack Cruiser</t>
        </is>
      </c>
      <c r="E156" s="3" t="n">
        <v>69.12</v>
      </c>
    </row>
    <row r="157">
      <c r="A157" s="2" t="inlineStr">
        <is>
          <t>bricksdirect</t>
        </is>
      </c>
      <c r="B157" s="2" t="n">
        <v>75440</v>
      </c>
      <c r="C157" s="2" t="inlineStr">
        <is>
          <t>Lego Star Wars</t>
        </is>
      </c>
      <c r="D157" s="2" t="inlineStr">
        <is>
          <t>LEGO 75440 AT-AT</t>
        </is>
      </c>
      <c r="E157" s="3" t="n">
        <v>56.91</v>
      </c>
    </row>
    <row r="158">
      <c r="A158" s="2" t="inlineStr">
        <is>
          <t>bricksdirect</t>
        </is>
      </c>
      <c r="B158" s="2" t="n">
        <v>75439</v>
      </c>
      <c r="C158" s="2" t="inlineStr">
        <is>
          <t>Lego Star Wars</t>
        </is>
      </c>
      <c r="D158" s="2" t="inlineStr">
        <is>
          <t>LEGO 75439 Darth Vader Bust</t>
        </is>
      </c>
      <c r="E158" s="3" t="n">
        <v>43.7</v>
      </c>
    </row>
    <row r="159">
      <c r="A159" s="2" t="inlineStr">
        <is>
          <t>bricksdirect</t>
        </is>
      </c>
      <c r="B159" s="2" t="n">
        <v>75438</v>
      </c>
      <c r="C159" s="2" t="inlineStr">
        <is>
          <t>Lego Star Wars</t>
        </is>
      </c>
      <c r="D159" s="2" t="inlineStr">
        <is>
          <t>LEGO 75438 Yoda Bust</t>
        </is>
      </c>
      <c r="E159" s="3" t="n">
        <v>34.55</v>
      </c>
    </row>
    <row r="160">
      <c r="A160" s="2" t="inlineStr">
        <is>
          <t>bricksdirect</t>
        </is>
      </c>
      <c r="B160" s="2" t="n">
        <v>75437</v>
      </c>
      <c r="C160" s="2" t="inlineStr">
        <is>
          <t>Lego Star Wars</t>
        </is>
      </c>
      <c r="D160" s="2" t="inlineStr">
        <is>
          <t>LEGO 75437 Cobb Vanth’s Speeder</t>
        </is>
      </c>
      <c r="E160" s="3" t="n">
        <v>26.42</v>
      </c>
    </row>
    <row r="161">
      <c r="A161" s="2" t="inlineStr">
        <is>
          <t>bricksdirect</t>
        </is>
      </c>
      <c r="B161" s="2" t="n">
        <v>75436</v>
      </c>
      <c r="C161" s="2" t="inlineStr">
        <is>
          <t>Lego Star Wars</t>
        </is>
      </c>
      <c r="D161" s="2" t="inlineStr">
        <is>
          <t>LEGO 75436 The Mandalorian &amp; Grogu’s Speeder Bike</t>
        </is>
      </c>
      <c r="E161" s="3" t="n">
        <v>10.16</v>
      </c>
    </row>
    <row r="162">
      <c r="A162" s="2" t="inlineStr">
        <is>
          <t>bricksdirect</t>
        </is>
      </c>
      <c r="B162" s="2" t="n">
        <v>75435</v>
      </c>
      <c r="C162" s="2" t="inlineStr">
        <is>
          <t>Lego Star Wars</t>
        </is>
      </c>
      <c r="D162" s="2" t="inlineStr">
        <is>
          <t>LEGO 75435 Battle of Felucia Separatist MTT</t>
        </is>
      </c>
      <c r="E162" s="3" t="n">
        <v>126.04</v>
      </c>
    </row>
    <row r="163">
      <c r="A163" s="2" t="inlineStr">
        <is>
          <t>bricksdirect</t>
        </is>
      </c>
      <c r="B163" s="2" t="n">
        <v>75434</v>
      </c>
      <c r="C163" s="2" t="inlineStr">
        <is>
          <t>Lego Star Wars</t>
        </is>
      </c>
      <c r="D163" s="2" t="inlineStr">
        <is>
          <t>LEGO 75434 K-2SO Security Droid</t>
        </is>
      </c>
      <c r="E163" s="3" t="n">
        <v>91.48</v>
      </c>
    </row>
    <row r="164">
      <c r="A164" s="2" t="inlineStr">
        <is>
          <t>bricksdirect</t>
        </is>
      </c>
      <c r="B164" s="2" t="n">
        <v>75433</v>
      </c>
      <c r="C164" s="2" t="inlineStr">
        <is>
          <t>Lego Star Wars</t>
        </is>
      </c>
      <c r="D164" s="2" t="inlineStr">
        <is>
          <t>LEGO 75433 Jango Fett’s Starship</t>
        </is>
      </c>
      <c r="E164" s="3" t="n">
        <v>56.92</v>
      </c>
    </row>
    <row r="165">
      <c r="A165" s="2" t="inlineStr">
        <is>
          <t>bricksdirect</t>
        </is>
      </c>
      <c r="B165" s="2" t="n">
        <v>75432</v>
      </c>
      <c r="C165" s="2" t="inlineStr">
        <is>
          <t>Lego Star Wars</t>
        </is>
      </c>
      <c r="D165" s="2" t="inlineStr">
        <is>
          <t>LEGO 75432 V-19 Torrent Starfighter</t>
        </is>
      </c>
      <c r="E165" s="3" t="n">
        <v>66.06</v>
      </c>
    </row>
    <row r="166">
      <c r="A166" s="2" t="inlineStr">
        <is>
          <t>bricksdirect</t>
        </is>
      </c>
      <c r="B166" s="2" t="n">
        <v>75431</v>
      </c>
      <c r="C166" s="2" t="inlineStr">
        <is>
          <t>Lego Star Wars</t>
        </is>
      </c>
      <c r="D166" s="2" t="inlineStr">
        <is>
          <t>LEGO 75431 327th Star Corps Clone Troopers Battle Pack</t>
        </is>
      </c>
      <c r="E166" s="3" t="n">
        <v>40.65</v>
      </c>
    </row>
    <row r="167">
      <c r="A167" s="2" t="inlineStr">
        <is>
          <t>bricksdirect</t>
        </is>
      </c>
      <c r="B167" s="2" t="n">
        <v>75430</v>
      </c>
      <c r="C167" s="2" t="inlineStr">
        <is>
          <t>Lego Star Wars</t>
        </is>
      </c>
      <c r="D167" s="2" t="inlineStr">
        <is>
          <t>LEGO 75430 Wicket the Ewok</t>
        </is>
      </c>
      <c r="E167" s="3" t="n">
        <v>132.14</v>
      </c>
    </row>
    <row r="168">
      <c r="A168" s="2" t="inlineStr">
        <is>
          <t>bricksdirect</t>
        </is>
      </c>
      <c r="B168" s="2" t="n">
        <v>75429</v>
      </c>
      <c r="C168" s="2" t="inlineStr">
        <is>
          <t>Lego Star Wars</t>
        </is>
      </c>
      <c r="D168" s="2" t="inlineStr">
        <is>
          <t>LEGO 75429 AT-AT Driver Helmet</t>
        </is>
      </c>
      <c r="E168" s="3" t="n">
        <v>101.64</v>
      </c>
    </row>
    <row r="169">
      <c r="A169" s="2" t="inlineStr">
        <is>
          <t>bricksdirect</t>
        </is>
      </c>
      <c r="B169" s="2" t="n">
        <v>75428</v>
      </c>
      <c r="C169" s="2" t="inlineStr">
        <is>
          <t>Lego Star Wars</t>
        </is>
      </c>
      <c r="D169" s="2" t="inlineStr">
        <is>
          <t>LEGO 75428 Battle Droid with STAP</t>
        </is>
      </c>
      <c r="E169" s="3" t="n">
        <v>142.3</v>
      </c>
    </row>
    <row r="170">
      <c r="A170" s="2" t="inlineStr">
        <is>
          <t>bricksdirect</t>
        </is>
      </c>
      <c r="B170" s="2" t="n">
        <v>853778</v>
      </c>
      <c r="C170" s="2" t="inlineStr">
        <is>
          <t>Lego Friends</t>
        </is>
      </c>
      <c r="D170" s="2" t="inlineStr">
        <is>
          <t>LEGO 853778 Stephanie’s Pool Pod</t>
        </is>
      </c>
      <c r="E170" s="3" t="n">
        <v>10.16</v>
      </c>
    </row>
    <row r="171">
      <c r="A171" s="2" t="inlineStr">
        <is>
          <t>bricksdirect</t>
        </is>
      </c>
      <c r="B171" s="2" t="n">
        <v>5005236</v>
      </c>
      <c r="C171" s="2" t="inlineStr">
        <is>
          <t>Lego Friends</t>
        </is>
      </c>
      <c r="D171" s="2" t="inlineStr">
        <is>
          <t>LEGO 5005236 Friends Clubhouse</t>
        </is>
      </c>
      <c r="E171" s="3" t="n">
        <v>10.16</v>
      </c>
    </row>
    <row r="172">
      <c r="A172" s="2" t="inlineStr">
        <is>
          <t>bricksdirect</t>
        </is>
      </c>
      <c r="B172" s="2" t="n">
        <v>42705</v>
      </c>
      <c r="C172" s="2" t="inlineStr">
        <is>
          <t>Lego Friends</t>
        </is>
      </c>
      <c r="D172" s="2" t="inlineStr">
        <is>
          <t>LEGO 42705 Cozy Fall Forest Cabin</t>
        </is>
      </c>
      <c r="E172" s="3" t="n">
        <v>86.40000000000001</v>
      </c>
    </row>
    <row r="173">
      <c r="A173" s="2" t="inlineStr">
        <is>
          <t>bricksdirect</t>
        </is>
      </c>
      <c r="B173" s="2" t="n">
        <v>42704</v>
      </c>
      <c r="C173" s="2" t="inlineStr">
        <is>
          <t>Lego Friends</t>
        </is>
      </c>
      <c r="D173" s="2" t="inlineStr">
        <is>
          <t>LEGO 42704 Heartlake City Grand Hotel</t>
        </is>
      </c>
      <c r="E173" s="3" t="n">
        <v>130.1</v>
      </c>
    </row>
    <row r="174">
      <c r="A174" s="2" t="inlineStr">
        <is>
          <t>bricksdirect</t>
        </is>
      </c>
      <c r="B174" s="2" t="n">
        <v>42703</v>
      </c>
      <c r="C174" s="2" t="inlineStr">
        <is>
          <t>Lego Friends</t>
        </is>
      </c>
      <c r="D174" s="2" t="inlineStr">
        <is>
          <t>LEGO 42703 Mermaid Roller Coaster Ride</t>
        </is>
      </c>
      <c r="E174" s="3" t="n">
        <v>86.40000000000001</v>
      </c>
    </row>
    <row r="175">
      <c r="A175" s="2" t="inlineStr">
        <is>
          <t>bricksdirect</t>
        </is>
      </c>
      <c r="B175" s="2" t="n">
        <v>42702</v>
      </c>
      <c r="C175" s="2" t="inlineStr">
        <is>
          <t>Lego Friends</t>
        </is>
      </c>
      <c r="D175" s="2" t="inlineStr">
        <is>
          <t>LEGO 42702 Spinning Flower &amp; Fairy Teacup Ride</t>
        </is>
      </c>
      <c r="E175" s="3" t="n">
        <v>34.55</v>
      </c>
    </row>
    <row r="176">
      <c r="A176" s="2" t="inlineStr">
        <is>
          <t>bricksdirect</t>
        </is>
      </c>
      <c r="B176" s="2" t="n">
        <v>42701</v>
      </c>
      <c r="C176" s="2" t="inlineStr">
        <is>
          <t>Lego Friends</t>
        </is>
      </c>
      <c r="D176" s="2" t="inlineStr">
        <is>
          <t>LEGO 42701 Koala Habitat &amp; Care Center</t>
        </is>
      </c>
      <c r="E176" s="3" t="n">
        <v>76.23</v>
      </c>
    </row>
    <row r="177">
      <c r="A177" s="2" t="inlineStr">
        <is>
          <t>bricksdirect</t>
        </is>
      </c>
      <c r="B177" s="2" t="n">
        <v>42700</v>
      </c>
      <c r="C177" s="2" t="inlineStr">
        <is>
          <t>Lego Friends</t>
        </is>
      </c>
      <c r="D177" s="2" t="inlineStr">
        <is>
          <t>LEGO 42700 Candy &amp; Cupcake Ferris Wheel</t>
        </is>
      </c>
      <c r="E177" s="3" t="n">
        <v>51.83</v>
      </c>
    </row>
    <row r="178">
      <c r="A178" s="2" t="inlineStr">
        <is>
          <t>bricksdirect</t>
        </is>
      </c>
      <c r="B178" s="2" t="n">
        <v>42699</v>
      </c>
      <c r="C178" s="2" t="inlineStr">
        <is>
          <t>Lego Friends</t>
        </is>
      </c>
      <c r="D178" s="2" t="inlineStr">
        <is>
          <t>LEGO 42699 Beach House with Seals</t>
        </is>
      </c>
      <c r="E178" s="3" t="n">
        <v>50.82</v>
      </c>
    </row>
    <row r="179">
      <c r="A179" s="2" t="inlineStr">
        <is>
          <t>bricksdirect</t>
        </is>
      </c>
      <c r="B179" s="2" t="n">
        <v>42698</v>
      </c>
      <c r="C179" s="2" t="inlineStr">
        <is>
          <t>Lego Friends</t>
        </is>
      </c>
      <c r="D179" s="2" t="inlineStr">
        <is>
          <t>LEGO 42698 Advent Calendar 2026, Friends (Pre order, will be shipped on 01/09/2026)</t>
        </is>
      </c>
      <c r="E179" s="3" t="n">
        <v>23.37</v>
      </c>
    </row>
    <row r="180">
      <c r="A180" s="2" t="inlineStr">
        <is>
          <t>bricksdirect</t>
        </is>
      </c>
      <c r="B180" s="2" t="n">
        <v>42697</v>
      </c>
      <c r="C180" s="2" t="inlineStr">
        <is>
          <t>Lego Friends</t>
        </is>
      </c>
      <c r="D180" s="2" t="inlineStr">
        <is>
          <t>LEGO 42697 Creative Dollhouse Suitcase</t>
        </is>
      </c>
      <c r="E180" s="3" t="n">
        <v>43.7</v>
      </c>
    </row>
    <row r="181">
      <c r="A181" s="2" t="inlineStr">
        <is>
          <t>bricksdirect</t>
        </is>
      </c>
      <c r="B181" s="2" t="n">
        <v>42696</v>
      </c>
      <c r="C181" s="2" t="inlineStr">
        <is>
          <t>Lego Friends</t>
        </is>
      </c>
      <c r="D181" s="2" t="inlineStr">
        <is>
          <t>LEGO 42696 Animal Vet Clinic</t>
        </is>
      </c>
      <c r="E181" s="3" t="n">
        <v>26.42</v>
      </c>
    </row>
    <row r="182">
      <c r="A182" s="2" t="inlineStr">
        <is>
          <t>bricksdirect</t>
        </is>
      </c>
      <c r="B182" s="2" t="n">
        <v>42695</v>
      </c>
      <c r="C182" s="2" t="inlineStr">
        <is>
          <t>Lego Friends</t>
        </is>
      </c>
      <c r="D182" s="2" t="inlineStr">
        <is>
          <t>LEGO 42695 Horse &amp; Baby Foal Trailer</t>
        </is>
      </c>
      <c r="E182" s="3" t="n">
        <v>26.42</v>
      </c>
    </row>
    <row r="183">
      <c r="A183" s="2" t="inlineStr">
        <is>
          <t>bricksdirect</t>
        </is>
      </c>
      <c r="B183" s="2" t="n">
        <v>42694</v>
      </c>
      <c r="C183" s="2" t="inlineStr">
        <is>
          <t>Lego Friends</t>
        </is>
      </c>
      <c r="D183" s="2" t="inlineStr">
        <is>
          <t>LEGO 42694 Pizza Truck</t>
        </is>
      </c>
      <c r="E183" s="3" t="n">
        <v>13.21</v>
      </c>
    </row>
    <row r="184">
      <c r="A184" s="2" t="inlineStr">
        <is>
          <t>bricksdirect</t>
        </is>
      </c>
      <c r="B184" s="2" t="n">
        <v>42693</v>
      </c>
      <c r="C184" s="2" t="inlineStr">
        <is>
          <t>Lego Friends</t>
        </is>
      </c>
      <c r="D184" s="2" t="inlineStr">
        <is>
          <t>LEGO 42693 Creative Flower Shop</t>
        </is>
      </c>
      <c r="E184" s="3" t="n">
        <v>26.42</v>
      </c>
    </row>
    <row r="185">
      <c r="A185" s="2" t="inlineStr">
        <is>
          <t>bricksdirect</t>
        </is>
      </c>
      <c r="B185" s="2" t="n">
        <v>42692</v>
      </c>
      <c r="C185" s="2" t="inlineStr">
        <is>
          <t>Lego Friends</t>
        </is>
      </c>
      <c r="D185" s="2" t="inlineStr">
        <is>
          <t>LEGO 42692 Ice Cream &amp; Balloon Stand</t>
        </is>
      </c>
      <c r="E185" s="3" t="n">
        <v>9.140000000000001</v>
      </c>
    </row>
    <row r="186">
      <c r="A186" s="2" t="inlineStr">
        <is>
          <t>bricksdirect</t>
        </is>
      </c>
      <c r="B186" s="2" t="n">
        <v>42691</v>
      </c>
      <c r="C186" s="2" t="inlineStr">
        <is>
          <t>Lego Friends</t>
        </is>
      </c>
      <c r="D186" s="2" t="inlineStr">
        <is>
          <t>LEGO 42691 Garden Restaurant</t>
        </is>
      </c>
      <c r="E186" s="3" t="n">
        <v>156.53</v>
      </c>
    </row>
    <row r="187">
      <c r="A187" s="2" t="inlineStr">
        <is>
          <t>bricksdirect</t>
        </is>
      </c>
      <c r="B187" s="2" t="n">
        <v>42690</v>
      </c>
      <c r="C187" s="2" t="inlineStr">
        <is>
          <t>Lego Friends</t>
        </is>
      </c>
      <c r="D187" s="2" t="inlineStr">
        <is>
          <t>LEGO 42690 Forest Tea Party</t>
        </is>
      </c>
      <c r="E187" s="3" t="n">
        <v>9.140000000000001</v>
      </c>
    </row>
    <row r="188">
      <c r="A188" s="2" t="inlineStr">
        <is>
          <t>bricksdirect</t>
        </is>
      </c>
      <c r="B188" s="2" t="n">
        <v>42689</v>
      </c>
      <c r="C188" s="2" t="inlineStr">
        <is>
          <t>Lego Friends</t>
        </is>
      </c>
      <c r="D188" s="2" t="inlineStr">
        <is>
          <t>LEGO 42689 Heartlake City Friends Club House</t>
        </is>
      </c>
      <c r="E188" s="3" t="n">
        <v>78.26000000000001</v>
      </c>
    </row>
    <row r="189">
      <c r="A189" s="2" t="inlineStr">
        <is>
          <t>bricksdirect</t>
        </is>
      </c>
      <c r="B189" s="2" t="n">
        <v>42688</v>
      </c>
      <c r="C189" s="2" t="inlineStr">
        <is>
          <t>Lego Friends</t>
        </is>
      </c>
      <c r="D189" s="2" t="inlineStr">
        <is>
          <t>LEGO 42688 Horse Stable and Riding Academy</t>
        </is>
      </c>
      <c r="E189" s="3" t="n">
        <v>69.12</v>
      </c>
    </row>
    <row r="190">
      <c r="A190" s="2" t="inlineStr">
        <is>
          <t>bricksdirect</t>
        </is>
      </c>
      <c r="B190" s="2" t="n">
        <v>42687</v>
      </c>
      <c r="C190" s="2" t="inlineStr">
        <is>
          <t>Lego Friends</t>
        </is>
      </c>
      <c r="D190" s="2" t="inlineStr">
        <is>
          <t>LEGO 42687 Liann’s Family House</t>
        </is>
      </c>
      <c r="E190" s="3" t="n">
        <v>60.98</v>
      </c>
    </row>
    <row r="191">
      <c r="A191" s="2" t="inlineStr">
        <is>
          <t>bricksdirect</t>
        </is>
      </c>
      <c r="B191" s="2" t="n">
        <v>42686</v>
      </c>
      <c r="C191" s="2" t="inlineStr">
        <is>
          <t>Lego Friends</t>
        </is>
      </c>
      <c r="D191" s="2" t="inlineStr">
        <is>
          <t>LEGO 42686 Fun Indoor Playground</t>
        </is>
      </c>
      <c r="E191" s="3" t="n">
        <v>51.83</v>
      </c>
    </row>
    <row r="192">
      <c r="A192" s="2" t="inlineStr">
        <is>
          <t>bricksdirect</t>
        </is>
      </c>
      <c r="B192" s="2" t="n">
        <v>42685</v>
      </c>
      <c r="C192" s="2" t="inlineStr">
        <is>
          <t>Lego Friends</t>
        </is>
      </c>
      <c r="D192" s="2" t="inlineStr">
        <is>
          <t>LEGO 42685 Heartlake City Fashion Show</t>
        </is>
      </c>
      <c r="E192" s="3" t="n">
        <v>43.7</v>
      </c>
    </row>
    <row r="193">
      <c r="A193" s="2" t="inlineStr">
        <is>
          <t>bricksdirect</t>
        </is>
      </c>
      <c r="B193" s="2" t="n">
        <v>42684</v>
      </c>
      <c r="C193" s="2" t="inlineStr">
        <is>
          <t>Lego Friends</t>
        </is>
      </c>
      <c r="D193" s="2" t="inlineStr">
        <is>
          <t>LEGO 42684 Unicorn Dream Café</t>
        </is>
      </c>
      <c r="E193" s="3" t="n">
        <v>34.55</v>
      </c>
    </row>
    <row r="194">
      <c r="A194" s="2" t="inlineStr">
        <is>
          <t>bricksdirect</t>
        </is>
      </c>
      <c r="B194" s="2" t="n">
        <v>42682</v>
      </c>
      <c r="C194" s="2" t="inlineStr">
        <is>
          <t>Lego Friends</t>
        </is>
      </c>
      <c r="D194" s="2" t="inlineStr">
        <is>
          <t>LEGO 42682 Nature Glamping Cabin</t>
        </is>
      </c>
      <c r="E194" s="3" t="n">
        <v>22.35</v>
      </c>
    </row>
    <row r="195">
      <c r="A195" s="2" t="inlineStr">
        <is>
          <t>bricksdirect</t>
        </is>
      </c>
      <c r="B195" s="2" t="n">
        <v>42681</v>
      </c>
      <c r="C195" s="2" t="inlineStr">
        <is>
          <t>Lego Friends</t>
        </is>
      </c>
      <c r="D195" s="2" t="inlineStr">
        <is>
          <t>LEGO 42681 Axolotl Adventure Boat</t>
        </is>
      </c>
      <c r="E195" s="3" t="n">
        <v>9.140000000000001</v>
      </c>
    </row>
    <row r="196">
      <c r="A196" s="2" t="inlineStr">
        <is>
          <t>bricksdirect</t>
        </is>
      </c>
      <c r="B196" s="2" t="n">
        <v>42680</v>
      </c>
      <c r="C196" s="2" t="inlineStr">
        <is>
          <t>Lego Friends</t>
        </is>
      </c>
      <c r="D196" s="2" t="inlineStr">
        <is>
          <t>LEGO 42680 Heartlake City Convenience Store</t>
        </is>
      </c>
      <c r="E196" s="3" t="n">
        <v>17.27</v>
      </c>
    </row>
    <row r="197">
      <c r="A197" s="2" t="inlineStr">
        <is>
          <t>bricksdirect</t>
        </is>
      </c>
      <c r="B197" s="2" t="n">
        <v>42679</v>
      </c>
      <c r="C197" s="2" t="inlineStr">
        <is>
          <t>Lego Friends</t>
        </is>
      </c>
      <c r="D197" s="2" t="inlineStr">
        <is>
          <t>LEGO 42679 Heartlake City Bunny Hotel</t>
        </is>
      </c>
      <c r="E197" s="3" t="n">
        <v>22.35</v>
      </c>
    </row>
    <row r="198">
      <c r="A198" s="2" t="inlineStr">
        <is>
          <t>bricksdirect</t>
        </is>
      </c>
      <c r="B198" s="2" t="n">
        <v>42678</v>
      </c>
      <c r="C198" s="2" t="inlineStr">
        <is>
          <t>Lego Friends</t>
        </is>
      </c>
      <c r="D198" s="2" t="inlineStr">
        <is>
          <t>LEGO 42678 Pet Accessories Van</t>
        </is>
      </c>
      <c r="E198" s="3" t="n">
        <v>17.27</v>
      </c>
    </row>
    <row r="199">
      <c r="A199" s="2" t="inlineStr">
        <is>
          <t>bricksdirect</t>
        </is>
      </c>
      <c r="B199" s="2" t="n">
        <v>42677</v>
      </c>
      <c r="C199" s="2" t="inlineStr">
        <is>
          <t>Lego Friends</t>
        </is>
      </c>
      <c r="D199" s="2" t="inlineStr">
        <is>
          <t>LEGO 42677 Dog Treats Bakery</t>
        </is>
      </c>
      <c r="E199" s="3" t="n">
        <v>26.42</v>
      </c>
    </row>
    <row r="200">
      <c r="A200" s="2" t="inlineStr">
        <is>
          <t>bricksdirect</t>
        </is>
      </c>
      <c r="B200" s="2" t="n">
        <v>42676</v>
      </c>
      <c r="C200" s="2" t="inlineStr">
        <is>
          <t>Lego Friends</t>
        </is>
      </c>
      <c r="D200" s="2" t="inlineStr">
        <is>
          <t>LEGO 42676 Fun Water Park Day</t>
        </is>
      </c>
      <c r="E200" s="3" t="n">
        <v>26.42</v>
      </c>
    </row>
    <row r="201">
      <c r="A201" s="2" t="inlineStr">
        <is>
          <t>bricksdirect</t>
        </is>
      </c>
      <c r="B201" s="2" t="n">
        <v>42675</v>
      </c>
      <c r="C201" s="2" t="inlineStr">
        <is>
          <t>Lego Friends</t>
        </is>
      </c>
      <c r="D201" s="2" t="inlineStr">
        <is>
          <t>LEGO 42675 Unicorn Cake Delivery Car</t>
        </is>
      </c>
      <c r="E201" s="3" t="n">
        <v>9.140000000000001</v>
      </c>
    </row>
    <row r="202">
      <c r="A202" s="2" t="inlineStr">
        <is>
          <t>bricksdirect</t>
        </is>
      </c>
      <c r="B202" s="2" t="n">
        <v>42674</v>
      </c>
      <c r="C202" s="2" t="inlineStr">
        <is>
          <t>Lego Friends</t>
        </is>
      </c>
      <c r="D202" s="2" t="inlineStr">
        <is>
          <t>LEGO 42674 Comic Book and Game Store</t>
        </is>
      </c>
      <c r="E202" s="3" t="n">
        <v>101.64</v>
      </c>
    </row>
    <row r="203">
      <c r="A203" s="2" t="inlineStr">
        <is>
          <t>bricksdirect</t>
        </is>
      </c>
      <c r="B203" s="2" t="n">
        <v>42673</v>
      </c>
      <c r="C203" s="2" t="inlineStr">
        <is>
          <t>Lego Friends</t>
        </is>
      </c>
      <c r="D203" s="2" t="inlineStr">
        <is>
          <t>LEGO 42673 Family Vacation Beach Resort</t>
        </is>
      </c>
      <c r="E203" s="3" t="n">
        <v>132.14</v>
      </c>
    </row>
    <row r="204">
      <c r="A204" s="2" t="inlineStr">
        <is>
          <t>bricksdirect</t>
        </is>
      </c>
      <c r="B204" s="2" t="n">
        <v>42672</v>
      </c>
      <c r="C204" s="2" t="inlineStr">
        <is>
          <t>Lego Friends</t>
        </is>
      </c>
      <c r="D204" s="2" t="inlineStr">
        <is>
          <t>LEGO 42672 Creative Beach and Travel Suitcase</t>
        </is>
      </c>
      <c r="E204" s="3" t="n">
        <v>30.49</v>
      </c>
    </row>
    <row r="205">
      <c r="A205" s="2" t="inlineStr">
        <is>
          <t>bricksdirect</t>
        </is>
      </c>
      <c r="B205" s="2" t="n">
        <v>42671</v>
      </c>
      <c r="C205" s="2" t="inlineStr">
        <is>
          <t>Lego Friends</t>
        </is>
      </c>
      <c r="D205" s="2" t="inlineStr">
        <is>
          <t>LEGO 42671 Plant Café &amp; Flower Shop</t>
        </is>
      </c>
      <c r="E205" s="3" t="n">
        <v>91.47</v>
      </c>
    </row>
    <row r="206">
      <c r="A206" s="2" t="inlineStr">
        <is>
          <t>Zavvi</t>
        </is>
      </c>
      <c r="B206" s="2" t="n">
        <v>42695</v>
      </c>
      <c r="C206" s="2" t="inlineStr">
        <is>
          <t>Lego Friends</t>
        </is>
      </c>
      <c r="D206" s="2" t="inlineStr">
        <is>
          <t>LEGO Friends Horse &amp; Baby Foal Trailer with Car Toy 42695</t>
        </is>
      </c>
      <c r="E206" s="3" t="n">
        <v>29.27</v>
      </c>
    </row>
    <row r="207">
      <c r="A207" s="2" t="inlineStr">
        <is>
          <t>Zavvi</t>
        </is>
      </c>
      <c r="B207" s="2" t="n">
        <v>60505</v>
      </c>
      <c r="C207" s="2" t="inlineStr">
        <is>
          <t>Lego City</t>
        </is>
      </c>
      <c r="D207" s="2" t="inlineStr">
        <is>
          <t>LEGO City Airplane, Service Truck &amp; Hovercraft Remix 60505</t>
        </is>
      </c>
      <c r="E207" s="3" t="n">
        <v>70.25</v>
      </c>
    </row>
    <row r="208">
      <c r="A208" s="2" t="inlineStr">
        <is>
          <t>Zavvi</t>
        </is>
      </c>
      <c r="B208" s="2" t="n">
        <v>60500</v>
      </c>
      <c r="C208" s="2" t="inlineStr">
        <is>
          <t>Lego City</t>
        </is>
      </c>
      <c r="D208" s="2" t="inlineStr">
        <is>
          <t>LEGO City: The LEGO Van Toy Building Set for Kids 60500</t>
        </is>
      </c>
      <c r="E208" s="3" t="n">
        <v>29.27</v>
      </c>
    </row>
    <row r="209">
      <c r="A209" s="2" t="inlineStr">
        <is>
          <t>Zavvi</t>
        </is>
      </c>
      <c r="B209" s="2" t="n">
        <v>75437</v>
      </c>
      <c r="C209" s="2" t="inlineStr">
        <is>
          <t>Lego Star Wars</t>
        </is>
      </c>
      <c r="D209" s="2" t="inlineStr">
        <is>
          <t>LEGO Star Wars Cobb Vanth’s Speeder Toy for Kids 75437</t>
        </is>
      </c>
      <c r="E209" s="3" t="n">
        <v>29.27</v>
      </c>
    </row>
    <row r="210">
      <c r="A210" s="2" t="inlineStr">
        <is>
          <t>Zavvi</t>
        </is>
      </c>
      <c r="B210" s="2" t="n">
        <v>42689</v>
      </c>
      <c r="C210" s="2" t="inlineStr">
        <is>
          <t>Lego Friends</t>
        </is>
      </c>
      <c r="D210" s="2" t="inlineStr">
        <is>
          <t>LEGO Friends Heartlake City Friends Club House Toy 42689</t>
        </is>
      </c>
      <c r="E210" s="3" t="n">
        <v>93.68000000000001</v>
      </c>
    </row>
    <row r="211">
      <c r="A211" s="2" t="inlineStr">
        <is>
          <t>Zavvi</t>
        </is>
      </c>
      <c r="B211" s="2" t="n">
        <v>42673</v>
      </c>
      <c r="C211" s="2" t="inlineStr">
        <is>
          <t>Lego Friends</t>
        </is>
      </c>
      <c r="D211" s="2" t="inlineStr">
        <is>
          <t>LEGO® Friends Family Holiday Beach Resort Building Set 42673</t>
        </is>
      </c>
      <c r="E211" s="3" t="n">
        <v>117.1</v>
      </c>
    </row>
    <row r="212">
      <c r="A212" s="2" t="inlineStr">
        <is>
          <t>Zavvi</t>
        </is>
      </c>
      <c r="B212" s="2" t="n">
        <v>42688</v>
      </c>
      <c r="C212" s="2" t="inlineStr">
        <is>
          <t>Lego Friends</t>
        </is>
      </c>
      <c r="D212" s="2" t="inlineStr">
        <is>
          <t>LEGO Friends Horse Stable and Riding Academy Toy 42688</t>
        </is>
      </c>
      <c r="E212" s="3" t="n">
        <v>81.97</v>
      </c>
    </row>
    <row r="213">
      <c r="A213" s="2" t="inlineStr">
        <is>
          <t>Zavvi</t>
        </is>
      </c>
      <c r="B213" s="2" t="n">
        <v>42699</v>
      </c>
      <c r="C213" s="2" t="inlineStr">
        <is>
          <t>Lego Friends</t>
        </is>
      </c>
      <c r="D213" s="2" t="inlineStr">
        <is>
          <t>LEGO Friends Beach House with Seals Building Toy 42699</t>
        </is>
      </c>
      <c r="E213" s="3" t="n">
        <v>52.69</v>
      </c>
    </row>
    <row r="214">
      <c r="A214" s="2" t="inlineStr">
        <is>
          <t>Zavvi</t>
        </is>
      </c>
      <c r="B214" s="2" t="n">
        <v>42680</v>
      </c>
      <c r="C214" s="2" t="inlineStr">
        <is>
          <t>Lego Friends</t>
        </is>
      </c>
      <c r="D214" s="2" t="inlineStr">
        <is>
          <t>LEGO Friends Heartlake City Mini Supermarket Shop Toy 42680</t>
        </is>
      </c>
      <c r="E214" s="3" t="n">
        <v>21.07</v>
      </c>
    </row>
    <row r="215">
      <c r="A215" s="2" t="inlineStr">
        <is>
          <t>Zavvi</t>
        </is>
      </c>
      <c r="B215" s="2" t="n">
        <v>42686</v>
      </c>
      <c r="C215" s="2" t="inlineStr">
        <is>
          <t>Lego Friends</t>
        </is>
      </c>
      <c r="D215" s="2" t="inlineStr">
        <is>
          <t>LEGO Friends Fun Indoor Playground Toy with Mini Dolls 42686</t>
        </is>
      </c>
      <c r="E215" s="3" t="n">
        <v>64.40000000000001</v>
      </c>
    </row>
    <row r="216">
      <c r="A216" s="2" t="inlineStr">
        <is>
          <t>Zavvi</t>
        </is>
      </c>
      <c r="B216" s="2" t="n">
        <v>42685</v>
      </c>
      <c r="C216" s="2" t="inlineStr">
        <is>
          <t>Lego Friends</t>
        </is>
      </c>
      <c r="D216" s="2" t="inlineStr">
        <is>
          <t>LEGO Friends Heartlake City Fashion Show Toy for Kids 42685</t>
        </is>
      </c>
      <c r="E216" s="3" t="n">
        <v>52.69</v>
      </c>
    </row>
    <row r="217">
      <c r="A217" s="2" t="inlineStr">
        <is>
          <t>Zavvi</t>
        </is>
      </c>
      <c r="B217" s="2" t="n">
        <v>42696</v>
      </c>
      <c r="C217" s="2" t="inlineStr">
        <is>
          <t>Lego Friends</t>
        </is>
      </c>
      <c r="D217" s="2" t="inlineStr">
        <is>
          <t>LEGO Friends Animal Vet Clinic with Toy Horse Stable 42696</t>
        </is>
      </c>
      <c r="E217" s="3" t="n">
        <v>29.27</v>
      </c>
    </row>
    <row r="218">
      <c r="A218" s="2" t="inlineStr">
        <is>
          <t>Zavvi</t>
        </is>
      </c>
      <c r="B218" s="2" t="n">
        <v>60490</v>
      </c>
      <c r="C218" s="2" t="inlineStr">
        <is>
          <t>Lego City</t>
        </is>
      </c>
      <c r="D218" s="2" t="inlineStr">
        <is>
          <t>LEGO City Snowplough Truck Toy Vehicle with Minifigure 60490</t>
        </is>
      </c>
      <c r="E218" s="3" t="n">
        <v>23.41</v>
      </c>
    </row>
    <row r="219">
      <c r="A219" s="2" t="inlineStr">
        <is>
          <t>Zavvi</t>
        </is>
      </c>
      <c r="B219" s="2" t="n">
        <v>60504</v>
      </c>
      <c r="C219" s="2" t="inlineStr">
        <is>
          <t>Lego City</t>
        </is>
      </c>
      <c r="D219" s="2" t="inlineStr">
        <is>
          <t>LEGO City Coast Guard Rescue Boat &amp; Helicopter Playset 60504</t>
        </is>
      </c>
      <c r="E219" s="3" t="n">
        <v>100.7</v>
      </c>
    </row>
    <row r="220">
      <c r="A220" s="2" t="inlineStr">
        <is>
          <t>Zavvi</t>
        </is>
      </c>
      <c r="B220" s="2" t="n">
        <v>60503</v>
      </c>
      <c r="C220" s="2" t="inlineStr">
        <is>
          <t>Lego City</t>
        </is>
      </c>
      <c r="D220" s="2" t="inlineStr">
        <is>
          <t>LEGO City Coast Guard Helicopter Toy Building Set 60503</t>
        </is>
      </c>
      <c r="E220" s="3" t="n">
        <v>57.37</v>
      </c>
    </row>
    <row r="221">
      <c r="A221" s="2" t="inlineStr">
        <is>
          <t>Zavvi</t>
        </is>
      </c>
      <c r="B221" s="2" t="n">
        <v>60491</v>
      </c>
      <c r="C221" s="2" t="inlineStr">
        <is>
          <t>Lego City</t>
        </is>
      </c>
      <c r="D221" s="2" t="inlineStr">
        <is>
          <t>LEGO City Motorcycle Transporter Toy and 2 Minifigures 60491</t>
        </is>
      </c>
      <c r="E221" s="3" t="n">
        <v>21.07</v>
      </c>
    </row>
    <row r="222">
      <c r="A222" s="2" t="inlineStr">
        <is>
          <t>Zavvi</t>
        </is>
      </c>
      <c r="B222" s="2" t="n">
        <v>60454</v>
      </c>
      <c r="C222" s="2" t="inlineStr">
        <is>
          <t>Lego City</t>
        </is>
      </c>
      <c r="D222" s="2" t="inlineStr">
        <is>
          <t>LEGO City Holiday Adventure Camper Van Toy Vehicle Set 60454</t>
        </is>
      </c>
      <c r="E222" s="3" t="n">
        <v>26.92</v>
      </c>
    </row>
    <row r="223">
      <c r="A223" s="2" t="inlineStr">
        <is>
          <t>Zavvi</t>
        </is>
      </c>
      <c r="B223" s="2" t="n">
        <v>60502</v>
      </c>
      <c r="C223" s="2" t="inlineStr">
        <is>
          <t>Lego City</t>
        </is>
      </c>
      <c r="D223" s="2" t="inlineStr">
        <is>
          <t>LEGO City Airport with Airplane Toy Model Airport Set 60502</t>
        </is>
      </c>
      <c r="E223" s="3" t="n">
        <v>90.16</v>
      </c>
    </row>
    <row r="224">
      <c r="A224" s="2" t="inlineStr">
        <is>
          <t>Zavvi</t>
        </is>
      </c>
      <c r="B224" s="2" t="n">
        <v>60487</v>
      </c>
      <c r="C224" s="2" t="inlineStr">
        <is>
          <t>Lego City</t>
        </is>
      </c>
      <c r="D224" s="2" t="inlineStr">
        <is>
          <t>LEGO City Yellow Taxi Model Car Kit with 2 Minifigures 60487</t>
        </is>
      </c>
      <c r="E224" s="3" t="n">
        <v>14.04</v>
      </c>
    </row>
    <row r="225">
      <c r="A225" s="2" t="inlineStr">
        <is>
          <t>Zavvi</t>
        </is>
      </c>
      <c r="B225" s="2" t="n">
        <v>75443</v>
      </c>
      <c r="C225" s="2" t="inlineStr">
        <is>
          <t>Lego Star Wars</t>
        </is>
      </c>
      <c r="D225" s="2" t="inlineStr">
        <is>
          <t>LEGO Star Wars Grogu’s Homestead Toy Building Set 75443</t>
        </is>
      </c>
      <c r="E225" s="3" t="n">
        <v>21.07</v>
      </c>
    </row>
    <row r="226">
      <c r="A226" s="2" t="inlineStr">
        <is>
          <t>Zavvi</t>
        </is>
      </c>
      <c r="B226" s="2" t="n">
        <v>75449</v>
      </c>
      <c r="C226" s="2" t="inlineStr">
        <is>
          <t>Lego Star Wars</t>
        </is>
      </c>
      <c r="D226" s="2" t="inlineStr">
        <is>
          <t>LEGO Star Wars Siege of Mandalore Battle Pack Set 75449</t>
        </is>
      </c>
      <c r="E226" s="3" t="n">
        <v>21.07</v>
      </c>
    </row>
    <row r="227">
      <c r="A227" s="2" t="inlineStr">
        <is>
          <t>Zavvi</t>
        </is>
      </c>
      <c r="B227" s="2" t="n">
        <v>75448</v>
      </c>
      <c r="C227" s="2" t="inlineStr">
        <is>
          <t>Lego Star Wars</t>
        </is>
      </c>
      <c r="D227" s="2" t="inlineStr">
        <is>
          <t>LEGO Star Wars Clone Shock Trooper Mech Building Toy 75448</t>
        </is>
      </c>
      <c r="E227" s="3" t="n">
        <v>14.04</v>
      </c>
    </row>
    <row r="228">
      <c r="A228" s="2" t="inlineStr">
        <is>
          <t>JB Spielwaren</t>
        </is>
      </c>
      <c r="B228" s="2" t="n">
        <v>75455</v>
      </c>
      <c r="C228" s="2" t="inlineStr">
        <is>
          <t>Lego Star Wars</t>
        </is>
      </c>
      <c r="D228" s="2" t="inlineStr">
        <is>
          <t>LEGO 75455 Boba Fett™</t>
        </is>
      </c>
      <c r="E228" s="3" t="n">
        <v>144.49</v>
      </c>
    </row>
    <row r="229">
      <c r="A229" s="2" t="inlineStr">
        <is>
          <t>JB Spielwaren</t>
        </is>
      </c>
      <c r="B229" s="2" t="n">
        <v>75454</v>
      </c>
      <c r="C229" s="2" t="inlineStr">
        <is>
          <t>Lego Star Wars</t>
        </is>
      </c>
      <c r="D229" s="2" t="inlineStr">
        <is>
          <t>LEGO 75454 Imperial Remnant AT-AT™ with INT-4</t>
        </is>
      </c>
      <c r="E229" s="3" t="n">
        <v>135.99</v>
      </c>
    </row>
    <row r="230">
      <c r="A230" s="2" t="inlineStr">
        <is>
          <t>JB Spielwaren</t>
        </is>
      </c>
      <c r="B230" s="2" t="n">
        <v>75453</v>
      </c>
      <c r="C230" s="2" t="inlineStr">
        <is>
          <t>Lego Star Wars</t>
        </is>
      </c>
      <c r="D230" s="2" t="inlineStr">
        <is>
          <t>LEGO 75453 Offworld Sandcrawler™ and Mudhorn</t>
        </is>
      </c>
      <c r="E230" s="3" t="n">
        <v>169.99</v>
      </c>
    </row>
    <row r="231">
      <c r="A231" s="2" t="inlineStr">
        <is>
          <t>JB Spielwaren</t>
        </is>
      </c>
      <c r="B231" s="2" t="n">
        <v>75461</v>
      </c>
      <c r="C231" s="2" t="inlineStr">
        <is>
          <t>Lego Star Wars</t>
        </is>
      </c>
      <c r="D231" s="2" t="inlineStr">
        <is>
          <t>LEGO 75461 Up-Scaled Darth Vader™ Minifigure</t>
        </is>
      </c>
      <c r="E231" s="3" t="n">
        <v>99.98999999999999</v>
      </c>
    </row>
    <row r="232">
      <c r="A232" s="2" t="inlineStr">
        <is>
          <t>JB Spielwaren</t>
        </is>
      </c>
      <c r="B232" s="2" t="n">
        <v>75459</v>
      </c>
      <c r="C232" s="2" t="inlineStr">
        <is>
          <t>Lego Star Wars</t>
        </is>
      </c>
      <c r="D232" s="2" t="inlineStr">
        <is>
          <t>LEGO 75459 Imperial Lambda-Class Shuttle</t>
        </is>
      </c>
      <c r="E232" s="3" t="n">
        <v>149.99</v>
      </c>
    </row>
    <row r="233">
      <c r="A233" s="2" t="inlineStr">
        <is>
          <t>JB Spielwaren</t>
        </is>
      </c>
      <c r="B233" s="2" t="n">
        <v>75458</v>
      </c>
      <c r="C233" s="2" t="inlineStr">
        <is>
          <t>Lego Star Wars</t>
        </is>
      </c>
      <c r="D233" s="2" t="inlineStr">
        <is>
          <t>LEGO 75458 mperial Remnant AT-RT Driver™ Helmet</t>
        </is>
      </c>
      <c r="E233" s="3" t="n">
        <v>69.98999999999999</v>
      </c>
    </row>
    <row r="234">
      <c r="A234" s="2" t="inlineStr">
        <is>
          <t>JB Spielwaren</t>
        </is>
      </c>
      <c r="B234" s="2" t="n">
        <v>75456</v>
      </c>
      <c r="C234" s="2" t="inlineStr">
        <is>
          <t>Lego Star Wars</t>
        </is>
      </c>
      <c r="D234" s="2" t="inlineStr">
        <is>
          <t>LEGO 75456 Advent Calendar 2026</t>
        </is>
      </c>
      <c r="E234" s="3" t="n">
        <v>29.74</v>
      </c>
    </row>
    <row r="235">
      <c r="A235" s="2" t="inlineStr">
        <is>
          <t>JB Spielwaren</t>
        </is>
      </c>
      <c r="B235" s="2" t="n">
        <v>75451</v>
      </c>
      <c r="C235" s="2" t="inlineStr">
        <is>
          <t>Lego Star Wars</t>
        </is>
      </c>
      <c r="D235" s="2" t="inlineStr">
        <is>
          <t>LEGO 75451 Hutt Palace Sentry Droid Showdown</t>
        </is>
      </c>
      <c r="E235" s="3" t="n">
        <v>42.49</v>
      </c>
    </row>
    <row r="236">
      <c r="A236" s="2" t="inlineStr">
        <is>
          <t>JB Spielwaren</t>
        </is>
      </c>
      <c r="B236" s="2" t="n">
        <v>75442</v>
      </c>
      <c r="C236" s="2" t="inlineStr">
        <is>
          <t>Lego Star Wars</t>
        </is>
      </c>
      <c r="D236" s="2" t="inlineStr">
        <is>
          <t>LEGO 75442 The Mandalorian N-1 Starfighter</t>
        </is>
      </c>
      <c r="E236" s="3" t="n">
        <v>249.99</v>
      </c>
    </row>
    <row r="237">
      <c r="A237" s="2" t="inlineStr">
        <is>
          <t>JB Spielwaren</t>
        </is>
      </c>
      <c r="B237" s="2" t="n">
        <v>30728</v>
      </c>
      <c r="C237" s="2" t="inlineStr">
        <is>
          <t>Lego Star Wars</t>
        </is>
      </c>
      <c r="D237" s="2" t="inlineStr">
        <is>
          <t>LEGO 30728 The Razor Crest™ Mini-Build</t>
        </is>
      </c>
      <c r="E237" s="3" t="n">
        <v>3.19</v>
      </c>
    </row>
    <row r="238">
      <c r="A238" s="2" t="inlineStr">
        <is>
          <t>JB Spielwaren</t>
        </is>
      </c>
      <c r="B238" s="2" t="n">
        <v>75446</v>
      </c>
      <c r="C238" s="2" t="inlineStr">
        <is>
          <t>Lego Star Wars</t>
        </is>
      </c>
      <c r="D238" s="2" t="inlineStr">
        <is>
          <t>LEGO 75446 Grogu™ (apprenti du Mandalorien)</t>
        </is>
      </c>
      <c r="E238" s="3" t="n">
        <v>110.49</v>
      </c>
    </row>
    <row r="239">
      <c r="A239" s="2" t="inlineStr">
        <is>
          <t>JB Spielwaren</t>
        </is>
      </c>
      <c r="B239" s="2" t="n">
        <v>75445</v>
      </c>
      <c r="C239" s="2" t="inlineStr">
        <is>
          <t>Lego Star Wars</t>
        </is>
      </c>
      <c r="D239" s="2" t="inlineStr">
        <is>
          <t>LEGO 75445 Anzellan Starship</t>
        </is>
      </c>
      <c r="E239" s="3" t="n">
        <v>63.74</v>
      </c>
    </row>
    <row r="240">
      <c r="A240" s="2" t="inlineStr">
        <is>
          <t>JB Spielwaren</t>
        </is>
      </c>
      <c r="B240" s="2" t="n">
        <v>42698</v>
      </c>
      <c r="C240" s="2" t="inlineStr">
        <is>
          <t>Lego Friends</t>
        </is>
      </c>
      <c r="D240" s="2" t="inlineStr">
        <is>
          <t>LEGO 42698 Advent Calendar 2026</t>
        </is>
      </c>
      <c r="E240" s="3" t="n">
        <v>22.94</v>
      </c>
    </row>
    <row r="241">
      <c r="A241" s="2" t="inlineStr">
        <is>
          <t>JB Spielwaren</t>
        </is>
      </c>
      <c r="B241" s="2" t="n">
        <v>42705</v>
      </c>
      <c r="C241" s="2" t="inlineStr">
        <is>
          <t>Lego Friends</t>
        </is>
      </c>
      <c r="D241" s="2" t="inlineStr">
        <is>
          <t>LEGO 42705 Cozy Fall Forest Cabin</t>
        </is>
      </c>
      <c r="E241" s="3" t="n">
        <v>84.98999999999999</v>
      </c>
    </row>
    <row r="242">
      <c r="A242" s="2" t="inlineStr">
        <is>
          <t>JB Spielwaren</t>
        </is>
      </c>
      <c r="B242" s="2" t="n">
        <v>42702</v>
      </c>
      <c r="C242" s="2" t="inlineStr">
        <is>
          <t>Lego Friends</t>
        </is>
      </c>
      <c r="D242" s="2" t="inlineStr">
        <is>
          <t>LEGO 42702 Spinning Flower &amp; Fairy Teacup Ride</t>
        </is>
      </c>
      <c r="E242" s="3" t="n">
        <v>33.99</v>
      </c>
    </row>
    <row r="243">
      <c r="A243" s="2" t="inlineStr">
        <is>
          <t>JB Spielwaren</t>
        </is>
      </c>
      <c r="B243" s="2" t="n">
        <v>42704</v>
      </c>
      <c r="C243" s="2" t="inlineStr">
        <is>
          <t>Lego Friends</t>
        </is>
      </c>
      <c r="D243" s="2" t="inlineStr">
        <is>
          <t>LEGO 42704 Heartlake City Grand Hotel</t>
        </is>
      </c>
      <c r="E243" s="3" t="n">
        <v>127.49</v>
      </c>
    </row>
    <row r="244">
      <c r="A244" s="2" t="inlineStr">
        <is>
          <t>JB Spielwaren</t>
        </is>
      </c>
      <c r="B244" s="2" t="n">
        <v>42703</v>
      </c>
      <c r="C244" s="2" t="inlineStr">
        <is>
          <t>Lego Friends</t>
        </is>
      </c>
      <c r="D244" s="2" t="inlineStr">
        <is>
          <t>LEGO 42703 Mermaid Roller Coaster Ride</t>
        </is>
      </c>
      <c r="E244" s="3" t="n">
        <v>84.98999999999999</v>
      </c>
    </row>
    <row r="245">
      <c r="A245" s="2" t="inlineStr">
        <is>
          <t>JB Spielwaren</t>
        </is>
      </c>
      <c r="B245" s="2" t="n">
        <v>42697</v>
      </c>
      <c r="C245" s="2" t="inlineStr">
        <is>
          <t>Lego Friends</t>
        </is>
      </c>
      <c r="D245" s="2" t="inlineStr">
        <is>
          <t>LEGO 42697 Creative Dollhouse Suitcase</t>
        </is>
      </c>
      <c r="E245" s="3" t="n">
        <v>42.49</v>
      </c>
    </row>
    <row r="246">
      <c r="A246" s="2" t="inlineStr">
        <is>
          <t>JB Spielwaren</t>
        </is>
      </c>
      <c r="B246" s="2" t="n">
        <v>42700</v>
      </c>
      <c r="C246" s="2" t="inlineStr">
        <is>
          <t>Lego Friends</t>
        </is>
      </c>
      <c r="D246" s="2" t="inlineStr">
        <is>
          <t>LEGO 42700 Candy &amp; Cupcake Ferris Wheel</t>
        </is>
      </c>
      <c r="E246" s="3" t="n">
        <v>50.99</v>
      </c>
    </row>
    <row r="247">
      <c r="A247" s="2" t="inlineStr">
        <is>
          <t>JB Spielwaren</t>
        </is>
      </c>
      <c r="B247" s="2" t="n">
        <v>42694</v>
      </c>
      <c r="C247" s="2" t="inlineStr">
        <is>
          <t>Lego Friends</t>
        </is>
      </c>
      <c r="D247" s="2" t="inlineStr">
        <is>
          <t>LEGO 42694 Pizza Truck</t>
        </is>
      </c>
      <c r="E247" s="3" t="n">
        <v>12.74</v>
      </c>
    </row>
    <row r="248">
      <c r="A248" s="2" t="inlineStr">
        <is>
          <t>JB Spielwaren</t>
        </is>
      </c>
      <c r="B248" s="2" t="n">
        <v>42693</v>
      </c>
      <c r="C248" s="2" t="inlineStr">
        <is>
          <t>Lego Friends</t>
        </is>
      </c>
      <c r="D248" s="2" t="inlineStr">
        <is>
          <t>LEGO 42693 Creative Flower Shop</t>
        </is>
      </c>
      <c r="E248" s="3" t="n">
        <v>25.49</v>
      </c>
    </row>
    <row r="249">
      <c r="A249" s="2" t="inlineStr">
        <is>
          <t>JB Spielwaren</t>
        </is>
      </c>
      <c r="B249" s="2" t="n">
        <v>42690</v>
      </c>
      <c r="C249" s="2" t="inlineStr">
        <is>
          <t>Lego Friends</t>
        </is>
      </c>
      <c r="D249" s="2" t="inlineStr">
        <is>
          <t>LEGO 42690 Forest Tea Party</t>
        </is>
      </c>
      <c r="E249" s="3" t="n">
        <v>8.49</v>
      </c>
    </row>
    <row r="250">
      <c r="A250" s="2" t="inlineStr">
        <is>
          <t>JB Spielwaren</t>
        </is>
      </c>
      <c r="B250" s="2" t="n">
        <v>42682</v>
      </c>
      <c r="C250" s="2" t="inlineStr">
        <is>
          <t>Lego Friends</t>
        </is>
      </c>
      <c r="D250" s="2" t="inlineStr">
        <is>
          <t>LEGO 42682 Nature Glamping Cabin</t>
        </is>
      </c>
      <c r="E250" s="3" t="n">
        <v>21.24</v>
      </c>
    </row>
    <row r="251">
      <c r="A251" s="2" t="inlineStr">
        <is>
          <t>JB Spielwaren</t>
        </is>
      </c>
      <c r="B251" s="2" t="n">
        <v>42676</v>
      </c>
      <c r="C251" s="2" t="inlineStr">
        <is>
          <t>Lego Friends</t>
        </is>
      </c>
      <c r="D251" s="2" t="inlineStr">
        <is>
          <t>LEGO 42676 Fun Water Park Day</t>
        </is>
      </c>
      <c r="E251" s="3" t="n">
        <v>25.49</v>
      </c>
    </row>
    <row r="252">
      <c r="A252" s="2" t="inlineStr">
        <is>
          <t>JB Spielwaren</t>
        </is>
      </c>
      <c r="B252" s="2" t="n">
        <v>42699</v>
      </c>
      <c r="C252" s="2" t="inlineStr">
        <is>
          <t>Lego Friends</t>
        </is>
      </c>
      <c r="D252" s="2" t="inlineStr">
        <is>
          <t>LEGO 42699 Beach House with Seals</t>
        </is>
      </c>
      <c r="E252" s="3" t="n">
        <v>42.49</v>
      </c>
    </row>
    <row r="253">
      <c r="A253" s="2" t="inlineStr">
        <is>
          <t>JB Spielwaren</t>
        </is>
      </c>
      <c r="B253" s="2" t="n">
        <v>42692</v>
      </c>
      <c r="C253" s="2" t="inlineStr">
        <is>
          <t>Lego Friends</t>
        </is>
      </c>
      <c r="D253" s="2" t="inlineStr">
        <is>
          <t>LEGO 42692 Ice Cream &amp; Balloon Stand</t>
        </is>
      </c>
      <c r="E253" s="3" t="n">
        <v>8.49</v>
      </c>
    </row>
    <row r="254">
      <c r="A254" s="2" t="inlineStr">
        <is>
          <t>JB Spielwaren</t>
        </is>
      </c>
      <c r="B254" s="2" t="n">
        <v>42696</v>
      </c>
      <c r="C254" s="2" t="inlineStr">
        <is>
          <t>Lego Friends</t>
        </is>
      </c>
      <c r="D254" s="2" t="inlineStr">
        <is>
          <t>LEGO 42696 Animal Vet Clinic</t>
        </is>
      </c>
      <c r="E254" s="3" t="n">
        <v>25.49</v>
      </c>
    </row>
    <row r="255">
      <c r="A255" s="2" t="inlineStr">
        <is>
          <t>JB Spielwaren</t>
        </is>
      </c>
      <c r="B255" s="2" t="n">
        <v>42689</v>
      </c>
      <c r="C255" s="2" t="inlineStr">
        <is>
          <t>Lego Friends</t>
        </is>
      </c>
      <c r="D255" s="2" t="inlineStr">
        <is>
          <t>LEGO 42689 Heartlake City Friends Club House</t>
        </is>
      </c>
      <c r="E255" s="3" t="n">
        <v>71.98999999999999</v>
      </c>
    </row>
    <row r="256">
      <c r="A256" s="2" t="inlineStr">
        <is>
          <t>JB Spielwaren</t>
        </is>
      </c>
      <c r="B256" s="2" t="n">
        <v>42695</v>
      </c>
      <c r="C256" s="2" t="inlineStr">
        <is>
          <t>Lego Friends</t>
        </is>
      </c>
      <c r="D256" s="2" t="inlineStr">
        <is>
          <t>LEGO 42695 Horse &amp; Baby Foal Trailer</t>
        </is>
      </c>
      <c r="E256" s="3" t="n">
        <v>25.49</v>
      </c>
    </row>
    <row r="257">
      <c r="A257" s="2" t="inlineStr">
        <is>
          <t>JB Spielwaren</t>
        </is>
      </c>
      <c r="B257" s="2" t="n">
        <v>42687</v>
      </c>
      <c r="C257" s="2" t="inlineStr">
        <is>
          <t>Lego Friends</t>
        </is>
      </c>
      <c r="D257" s="2" t="inlineStr">
        <is>
          <t>LEGO 42687 Liann's Family House</t>
        </is>
      </c>
      <c r="E257" s="3" t="n">
        <v>55.99</v>
      </c>
    </row>
    <row r="258">
      <c r="A258" s="2" t="inlineStr">
        <is>
          <t>JB Spielwaren</t>
        </is>
      </c>
      <c r="B258" s="2" t="n">
        <v>42685</v>
      </c>
      <c r="C258" s="2" t="inlineStr">
        <is>
          <t>Lego Friends</t>
        </is>
      </c>
      <c r="D258" s="2" t="inlineStr">
        <is>
          <t>LEGO 42685 Heartlake City Fashion Show</t>
        </is>
      </c>
      <c r="E258" s="3" t="n">
        <v>42.49</v>
      </c>
    </row>
    <row r="259">
      <c r="A259" s="2" t="inlineStr">
        <is>
          <t>JB Spielwaren</t>
        </is>
      </c>
      <c r="B259" s="2" t="n">
        <v>42686</v>
      </c>
      <c r="C259" s="2" t="inlineStr">
        <is>
          <t>Lego Friends</t>
        </is>
      </c>
      <c r="D259" s="2" t="inlineStr">
        <is>
          <t>LEGO 42686 Fun Indoor Playground</t>
        </is>
      </c>
      <c r="E259" s="3" t="n">
        <v>47.99</v>
      </c>
    </row>
    <row r="260">
      <c r="A260" s="2" t="inlineStr">
        <is>
          <t>JB Spielwaren</t>
        </is>
      </c>
      <c r="B260" s="2" t="n">
        <v>42688</v>
      </c>
      <c r="C260" s="2" t="inlineStr">
        <is>
          <t>Lego Friends</t>
        </is>
      </c>
      <c r="D260" s="2" t="inlineStr">
        <is>
          <t>LEGO 42688 Horse Stable and Riding Academy</t>
        </is>
      </c>
      <c r="E260" s="3" t="n">
        <v>55.99</v>
      </c>
    </row>
    <row r="261">
      <c r="A261" s="2" t="inlineStr">
        <is>
          <t>JB Spielwaren</t>
        </is>
      </c>
      <c r="B261" s="2" t="n">
        <v>42680</v>
      </c>
      <c r="C261" s="2" t="inlineStr">
        <is>
          <t>Lego Friends</t>
        </is>
      </c>
      <c r="D261" s="2" t="inlineStr">
        <is>
          <t>LEGO 42680 Heartlake City Convenience Store</t>
        </is>
      </c>
      <c r="E261" s="3" t="n">
        <v>16.99</v>
      </c>
    </row>
    <row r="262">
      <c r="A262" s="2" t="inlineStr">
        <is>
          <t>JB Spielwaren</t>
        </is>
      </c>
      <c r="B262" s="2" t="n">
        <v>42681</v>
      </c>
      <c r="C262" s="2" t="inlineStr">
        <is>
          <t>Lego Friends</t>
        </is>
      </c>
      <c r="D262" s="2" t="inlineStr">
        <is>
          <t>LEGO 42681 Axolotl Adventure Boat</t>
        </is>
      </c>
      <c r="E262" s="3" t="n">
        <v>8.49</v>
      </c>
    </row>
    <row r="263">
      <c r="A263" s="2" t="inlineStr">
        <is>
          <t>JB Spielwaren</t>
        </is>
      </c>
      <c r="B263" s="2" t="n">
        <v>42684</v>
      </c>
      <c r="C263" s="2" t="inlineStr">
        <is>
          <t>Lego Friends</t>
        </is>
      </c>
      <c r="D263" s="2" t="inlineStr">
        <is>
          <t>LEGO 42684 Unicorn Dream Café</t>
        </is>
      </c>
      <c r="E263" s="3" t="n">
        <v>33.99</v>
      </c>
    </row>
    <row r="264">
      <c r="A264" s="2" t="inlineStr">
        <is>
          <t>JB Spielwaren</t>
        </is>
      </c>
      <c r="B264" s="2" t="n">
        <v>42677</v>
      </c>
      <c r="C264" s="2" t="inlineStr">
        <is>
          <t>Lego Friends</t>
        </is>
      </c>
      <c r="D264" s="2" t="inlineStr">
        <is>
          <t>LEGO 42677 Dog Treats Bakery</t>
        </is>
      </c>
      <c r="E264" s="3" t="n">
        <v>25.49</v>
      </c>
    </row>
    <row r="265">
      <c r="A265" s="2" t="inlineStr">
        <is>
          <t>JB Spielwaren</t>
        </is>
      </c>
      <c r="B265" s="2" t="n">
        <v>42675</v>
      </c>
      <c r="C265" s="2" t="inlineStr">
        <is>
          <t>Lego Friends</t>
        </is>
      </c>
      <c r="D265" s="2" t="inlineStr">
        <is>
          <t>LEGO 42675 Unicorn Cake Delivery Car</t>
        </is>
      </c>
      <c r="E265" s="3" t="n">
        <v>8.49</v>
      </c>
    </row>
    <row r="266">
      <c r="A266" s="2" t="inlineStr">
        <is>
          <t>JB Spielwaren</t>
        </is>
      </c>
      <c r="B266" s="2" t="n">
        <v>42678</v>
      </c>
      <c r="C266" s="2" t="inlineStr">
        <is>
          <t>Lego Friends</t>
        </is>
      </c>
      <c r="D266" s="2" t="inlineStr">
        <is>
          <t>LEGO 42678 Pet Accessories Van</t>
        </is>
      </c>
      <c r="E266" s="3" t="n">
        <v>16.99</v>
      </c>
    </row>
    <row r="267">
      <c r="A267" s="2" t="inlineStr">
        <is>
          <t>JB Spielwaren</t>
        </is>
      </c>
      <c r="B267" s="2" t="n">
        <v>42679</v>
      </c>
      <c r="C267" s="2" t="inlineStr">
        <is>
          <t>Lego Friends</t>
        </is>
      </c>
      <c r="D267" s="2" t="inlineStr">
        <is>
          <t>LEGO 42679 Heartlake City Bunny Hotel</t>
        </is>
      </c>
      <c r="E267" s="3" t="n">
        <v>21.24</v>
      </c>
    </row>
    <row r="268">
      <c r="A268" s="2" t="inlineStr">
        <is>
          <t>JB Spielwaren</t>
        </is>
      </c>
      <c r="B268" s="2" t="n">
        <v>42674</v>
      </c>
      <c r="C268" s="2" t="inlineStr">
        <is>
          <t>Lego Friends</t>
        </is>
      </c>
      <c r="D268" s="2" t="inlineStr">
        <is>
          <t>LEGO 42674 Comic Book and Game Store</t>
        </is>
      </c>
      <c r="E268" s="3" t="n">
        <v>89.98999999999999</v>
      </c>
    </row>
    <row r="269">
      <c r="A269" s="2" t="inlineStr">
        <is>
          <t>JB Spielwaren</t>
        </is>
      </c>
      <c r="B269" s="2" t="n">
        <v>42673</v>
      </c>
      <c r="C269" s="2" t="inlineStr">
        <is>
          <t>Lego Friends</t>
        </is>
      </c>
      <c r="D269" s="2" t="inlineStr">
        <is>
          <t>LEGO 42673 Family Vacation Beach Resort</t>
        </is>
      </c>
      <c r="E269" s="3" t="n">
        <v>110.49</v>
      </c>
    </row>
    <row r="270">
      <c r="A270" s="2" t="inlineStr">
        <is>
          <t>JB Spielwaren</t>
        </is>
      </c>
      <c r="B270" s="2" t="n">
        <v>42671</v>
      </c>
      <c r="C270" s="2" t="inlineStr">
        <is>
          <t>Lego Friends</t>
        </is>
      </c>
      <c r="D270" s="2" t="inlineStr">
        <is>
          <t>LEGO 42671 Plant Café &amp; Flower Shop</t>
        </is>
      </c>
      <c r="E270" s="3" t="n">
        <v>76.48999999999999</v>
      </c>
    </row>
    <row r="271">
      <c r="A271" s="2" t="inlineStr">
        <is>
          <t>JB Spielwaren</t>
        </is>
      </c>
      <c r="B271" s="2" t="n">
        <v>42665</v>
      </c>
      <c r="C271" s="2" t="inlineStr">
        <is>
          <t>Lego Friends</t>
        </is>
      </c>
      <c r="D271" s="2" t="inlineStr">
        <is>
          <t>LEGO 42665 Puppy Playground</t>
        </is>
      </c>
      <c r="E271" s="3" t="n">
        <v>8.49</v>
      </c>
    </row>
    <row r="272">
      <c r="A272" s="2" t="inlineStr">
        <is>
          <t>JB Spielwaren</t>
        </is>
      </c>
      <c r="B272" s="2" t="n">
        <v>42666</v>
      </c>
      <c r="C272" s="2" t="inlineStr">
        <is>
          <t>Lego Friends</t>
        </is>
      </c>
      <c r="D272" s="2" t="inlineStr">
        <is>
          <t>LEGO 42666 Cat Birthday Party &amp; Tree House</t>
        </is>
      </c>
      <c r="E272" s="3" t="n">
        <v>25.49</v>
      </c>
    </row>
    <row r="273">
      <c r="A273" s="2" t="inlineStr">
        <is>
          <t>JB Spielwaren</t>
        </is>
      </c>
      <c r="B273" s="2" t="n">
        <v>42664</v>
      </c>
      <c r="C273" s="2" t="inlineStr">
        <is>
          <t>Lego Friends</t>
        </is>
      </c>
      <c r="D273" s="2" t="inlineStr">
        <is>
          <t>LEGO 42664 Travel Boat Adventure</t>
        </is>
      </c>
      <c r="E273" s="3" t="n">
        <v>63.74</v>
      </c>
    </row>
    <row r="274">
      <c r="A274" s="2" t="inlineStr">
        <is>
          <t>JB Spielwaren</t>
        </is>
      </c>
      <c r="B274" s="2" t="n">
        <v>42661</v>
      </c>
      <c r="C274" s="2" t="inlineStr">
        <is>
          <t>Lego Friends</t>
        </is>
      </c>
      <c r="D274" s="2" t="inlineStr">
        <is>
          <t>LEGO 42661 Costume Party with Unicorn &amp; Fairy</t>
        </is>
      </c>
      <c r="E274" s="3" t="n">
        <v>33.99</v>
      </c>
    </row>
    <row r="275">
      <c r="A275" s="2" t="inlineStr">
        <is>
          <t>JB Spielwaren</t>
        </is>
      </c>
      <c r="B275" s="2" t="n">
        <v>42653</v>
      </c>
      <c r="C275" s="2" t="inlineStr">
        <is>
          <t>Lego Friends</t>
        </is>
      </c>
      <c r="D275" s="2" t="inlineStr">
        <is>
          <t>LEGO 42653 Music Store &amp; Apartment</t>
        </is>
      </c>
      <c r="E275" s="3" t="n">
        <v>42.49</v>
      </c>
    </row>
    <row r="276">
      <c r="A276" s="2" t="inlineStr">
        <is>
          <t>JB Spielwaren</t>
        </is>
      </c>
      <c r="B276" s="2" t="n">
        <v>11386</v>
      </c>
      <c r="C276" s="2" t="inlineStr">
        <is>
          <t>Lego Icons</t>
        </is>
      </c>
      <c r="D276" s="2" t="inlineStr">
        <is>
          <t>LEGO 11386 SpongeBob SquarePants: Bikini Bottom</t>
        </is>
      </c>
      <c r="E276" s="3" t="n">
        <v>178.49</v>
      </c>
    </row>
    <row r="277">
      <c r="A277" s="2" t="inlineStr">
        <is>
          <t>JB Spielwaren</t>
        </is>
      </c>
      <c r="B277" s="2" t="n">
        <v>11381</v>
      </c>
      <c r="C277" s="2" t="inlineStr">
        <is>
          <t>Lego Icons</t>
        </is>
      </c>
      <c r="D277" s="2" t="inlineStr">
        <is>
          <t>LEGO 11381 Jaguar E-Type</t>
        </is>
      </c>
      <c r="E277" s="3" t="n">
        <v>118.99</v>
      </c>
    </row>
    <row r="278">
      <c r="A278" s="2" t="inlineStr">
        <is>
          <t>JB Spielwaren</t>
        </is>
      </c>
      <c r="B278" s="2" t="n">
        <v>11382</v>
      </c>
      <c r="C278" s="2" t="inlineStr">
        <is>
          <t>Lego Icons</t>
        </is>
      </c>
      <c r="D278" s="2" t="inlineStr">
        <is>
          <t>LEGO 11382 Hubble Space Telescope</t>
        </is>
      </c>
      <c r="E278" s="3" t="n">
        <v>110.49</v>
      </c>
    </row>
    <row r="279">
      <c r="A279" s="2" t="inlineStr">
        <is>
          <t>JB Spielwaren</t>
        </is>
      </c>
      <c r="B279" s="2" t="n">
        <v>11383</v>
      </c>
      <c r="C279" s="2" t="inlineStr">
        <is>
          <t>Lego Icons</t>
        </is>
      </c>
      <c r="D279" s="2" t="inlineStr">
        <is>
          <t>LEGO 11383 Mayor Manor</t>
        </is>
      </c>
      <c r="E279" s="3" t="n">
        <v>93.48999999999999</v>
      </c>
    </row>
    <row r="280">
      <c r="A280" s="2" t="inlineStr">
        <is>
          <t>JB Spielwaren</t>
        </is>
      </c>
      <c r="B280" s="2" t="n">
        <v>11380</v>
      </c>
      <c r="C280" s="2" t="inlineStr">
        <is>
          <t>Lego Icons</t>
        </is>
      </c>
      <c r="D280" s="2" t="inlineStr">
        <is>
          <t>LEGO 11380 Road Bike</t>
        </is>
      </c>
      <c r="E280" s="3" t="n">
        <v>94.98999999999999</v>
      </c>
    </row>
    <row r="281">
      <c r="A281" s="2" t="inlineStr">
        <is>
          <t>JB Spielwaren</t>
        </is>
      </c>
      <c r="B281" s="2" t="n">
        <v>11371</v>
      </c>
      <c r="C281" s="2" t="inlineStr">
        <is>
          <t>Lego Icons</t>
        </is>
      </c>
      <c r="D281" s="2" t="inlineStr">
        <is>
          <t>LEGO 11371 Shopping Street</t>
        </is>
      </c>
      <c r="E281" s="3" t="n">
        <v>249.99</v>
      </c>
    </row>
    <row r="282">
      <c r="A282" s="2" t="inlineStr">
        <is>
          <t>JB Spielwaren</t>
        </is>
      </c>
      <c r="B282" s="2" t="n">
        <v>11370</v>
      </c>
      <c r="C282" s="2" t="inlineStr">
        <is>
          <t>Lego Icons</t>
        </is>
      </c>
      <c r="D282" s="2" t="inlineStr">
        <is>
          <t>LEGO 11370 Stranger Things: The Creel House</t>
        </is>
      </c>
      <c r="E282" s="3" t="n">
        <v>279.99</v>
      </c>
    </row>
    <row r="283">
      <c r="A283" s="2" t="inlineStr">
        <is>
          <t>JB Spielwaren</t>
        </is>
      </c>
      <c r="B283" s="2" t="n">
        <v>10352</v>
      </c>
      <c r="C283" s="2" t="inlineStr">
        <is>
          <t>Lego Icons</t>
        </is>
      </c>
      <c r="D283" s="2" t="inlineStr">
        <is>
          <t>LEGO 10352 The Simpsons™: Krusty Burger</t>
        </is>
      </c>
      <c r="E283" s="3" t="n">
        <v>199.99</v>
      </c>
    </row>
    <row r="284">
      <c r="A284" s="2" t="inlineStr">
        <is>
          <t>JB Spielwaren</t>
        </is>
      </c>
      <c r="B284" s="2" t="n">
        <v>11384</v>
      </c>
      <c r="C284" s="2" t="inlineStr">
        <is>
          <t>Lego Icons</t>
        </is>
      </c>
      <c r="D284" s="2" t="inlineStr">
        <is>
          <t>LEGO 11384 Golden Retriever Puppy</t>
        </is>
      </c>
      <c r="E284" s="3" t="n">
        <v>118.99</v>
      </c>
    </row>
    <row r="285">
      <c r="A285" s="2" t="inlineStr">
        <is>
          <t>JB Spielwaren</t>
        </is>
      </c>
      <c r="B285" s="2" t="n">
        <v>11376</v>
      </c>
      <c r="C285" s="2" t="inlineStr">
        <is>
          <t>Lego Icons</t>
        </is>
      </c>
      <c r="D285" s="2" t="inlineStr">
        <is>
          <t>LEGO 11376 Ford Model T</t>
        </is>
      </c>
      <c r="E285" s="3" t="n">
        <v>94.98999999999999</v>
      </c>
    </row>
    <row r="286">
      <c r="A286" s="2" t="inlineStr">
        <is>
          <t>JB Spielwaren</t>
        </is>
      </c>
      <c r="B286" s="2" t="n">
        <v>11375</v>
      </c>
      <c r="C286" s="2" t="inlineStr">
        <is>
          <t>Lego Icons</t>
        </is>
      </c>
      <c r="D286" s="2" t="inlineStr">
        <is>
          <t>LEGO 11375 Ferrari F2004 &amp; Michael Schumacher</t>
        </is>
      </c>
      <c r="E286" s="3" t="n">
        <v>76.48999999999999</v>
      </c>
    </row>
    <row r="287">
      <c r="A287" s="2" t="inlineStr">
        <is>
          <t>JB Spielwaren</t>
        </is>
      </c>
      <c r="B287" s="2" t="n">
        <v>11373</v>
      </c>
      <c r="C287" s="2" t="inlineStr">
        <is>
          <t>Lego Icons</t>
        </is>
      </c>
      <c r="D287" s="2" t="inlineStr">
        <is>
          <t>LEGO 11373 The Lord of the Rings: Sauron's Helmet</t>
        </is>
      </c>
      <c r="E287" s="3" t="n">
        <v>59.99</v>
      </c>
    </row>
    <row r="288">
      <c r="A288" s="2" t="inlineStr">
        <is>
          <t>JB Spielwaren</t>
        </is>
      </c>
      <c r="B288" s="2" t="n">
        <v>60511</v>
      </c>
      <c r="C288" s="2" t="inlineStr">
        <is>
          <t>Lego City</t>
        </is>
      </c>
      <c r="D288" s="2" t="inlineStr">
        <is>
          <t>LEGO 60511 Vintage Steam Train</t>
        </is>
      </c>
      <c r="E288" s="3" t="n">
        <v>76.48999999999999</v>
      </c>
    </row>
    <row r="289">
      <c r="A289" s="2" t="inlineStr">
        <is>
          <t>JB Spielwaren</t>
        </is>
      </c>
      <c r="B289" s="2" t="n">
        <v>60506</v>
      </c>
      <c r="C289" s="2" t="inlineStr">
        <is>
          <t>Lego City</t>
        </is>
      </c>
      <c r="D289" s="2" t="inlineStr">
        <is>
          <t>LEGO 60506 Classic Beach Streetcar</t>
        </is>
      </c>
      <c r="E289" s="3" t="n">
        <v>59.49</v>
      </c>
    </row>
    <row r="290">
      <c r="A290" s="2" t="inlineStr">
        <is>
          <t>JB Spielwaren</t>
        </is>
      </c>
      <c r="B290" s="2" t="n">
        <v>60492</v>
      </c>
      <c r="C290" s="2" t="inlineStr">
        <is>
          <t>Lego City</t>
        </is>
      </c>
      <c r="D290" s="2" t="inlineStr">
        <is>
          <t>LEGO 60492 Passenger Jet</t>
        </is>
      </c>
      <c r="E290" s="3" t="n">
        <v>25.49</v>
      </c>
    </row>
    <row r="291">
      <c r="A291" s="2" t="inlineStr">
        <is>
          <t>JB Spielwaren</t>
        </is>
      </c>
      <c r="B291" s="2" t="n">
        <v>60480</v>
      </c>
      <c r="C291" s="2" t="inlineStr">
        <is>
          <t>Lego City</t>
        </is>
      </c>
      <c r="D291" s="2" t="inlineStr">
        <is>
          <t>LEGO 60480 Yellow Backhoe Loader</t>
        </is>
      </c>
      <c r="E291" s="3" t="n">
        <v>25.49</v>
      </c>
    </row>
    <row r="292">
      <c r="A292" s="2" t="inlineStr">
        <is>
          <t>JB Spielwaren</t>
        </is>
      </c>
      <c r="B292" s="2" t="n">
        <v>60494</v>
      </c>
      <c r="C292" s="2" t="inlineStr">
        <is>
          <t>Lego City</t>
        </is>
      </c>
      <c r="D292" s="2" t="inlineStr">
        <is>
          <t>LEGO 60494 Dump Truck &amp; Front End Loader</t>
        </is>
      </c>
      <c r="E292" s="3" t="n">
        <v>101.99</v>
      </c>
    </row>
    <row r="293">
      <c r="A293" s="2" t="inlineStr">
        <is>
          <t>JB Spielwaren</t>
        </is>
      </c>
      <c r="B293" s="2" t="n">
        <v>60496</v>
      </c>
      <c r="C293" s="2" t="inlineStr">
        <is>
          <t>Lego City</t>
        </is>
      </c>
      <c r="D293" s="2" t="inlineStr">
        <is>
          <t>LEGO 60496 Pizza Delivery Experience with Vehicles</t>
        </is>
      </c>
      <c r="E293" s="3" t="n">
        <v>42.49</v>
      </c>
    </row>
    <row r="294">
      <c r="A294" s="2" t="inlineStr">
        <is>
          <t>JB Spielwaren</t>
        </is>
      </c>
      <c r="B294" s="2" t="n">
        <v>60497</v>
      </c>
      <c r="C294" s="2" t="inlineStr">
        <is>
          <t>Lego City</t>
        </is>
      </c>
      <c r="D294" s="2" t="inlineStr">
        <is>
          <t>LEGO 60497 Drive-Through Car Wash</t>
        </is>
      </c>
      <c r="E294" s="3" t="n">
        <v>46.74</v>
      </c>
    </row>
    <row r="295">
      <c r="A295" s="2" t="inlineStr">
        <is>
          <t>JB Spielwaren</t>
        </is>
      </c>
      <c r="B295" s="2" t="n">
        <v>60510</v>
      </c>
      <c r="C295" s="2" t="inlineStr">
        <is>
          <t>Lego City</t>
        </is>
      </c>
      <c r="D295" s="2" t="inlineStr">
        <is>
          <t>LEGO 60510 Advent Calendar 2026</t>
        </is>
      </c>
      <c r="E295" s="3" t="n">
        <v>22.94</v>
      </c>
    </row>
    <row r="296">
      <c r="A296" s="2" t="inlineStr">
        <is>
          <t>JB Spielwaren</t>
        </is>
      </c>
      <c r="B296" s="2" t="n">
        <v>60493</v>
      </c>
      <c r="C296" s="2" t="inlineStr">
        <is>
          <t>Lego City</t>
        </is>
      </c>
      <c r="D296" s="2" t="inlineStr">
        <is>
          <t>LEGO 60493 F1® Truck with Audi F1® race car</t>
        </is>
      </c>
      <c r="E296" s="3" t="n">
        <v>38.24</v>
      </c>
    </row>
    <row r="297">
      <c r="A297" s="2" t="inlineStr">
        <is>
          <t>JB Spielwaren</t>
        </is>
      </c>
      <c r="B297" s="2" t="n">
        <v>60508</v>
      </c>
      <c r="C297" s="2" t="inlineStr">
        <is>
          <t>Lego City</t>
        </is>
      </c>
      <c r="D297" s="2" t="inlineStr">
        <is>
          <t>LEGO 60508 Police Train Heist</t>
        </is>
      </c>
      <c r="E297" s="3" t="n">
        <v>169.99</v>
      </c>
    </row>
    <row r="298">
      <c r="A298" s="2" t="inlineStr">
        <is>
          <t>JB Spielwaren</t>
        </is>
      </c>
      <c r="B298" s="2" t="n">
        <v>60484</v>
      </c>
      <c r="C298" s="2" t="inlineStr">
        <is>
          <t>Lego City</t>
        </is>
      </c>
      <c r="D298" s="2" t="inlineStr">
        <is>
          <t>LEGO 60484 Rides – Gaming Race Car</t>
        </is>
      </c>
      <c r="E298" s="3" t="n">
        <v>8.49</v>
      </c>
    </row>
    <row r="299">
      <c r="A299" s="2" t="inlineStr">
        <is>
          <t>JB Spielwaren</t>
        </is>
      </c>
      <c r="B299" s="2" t="n">
        <v>60482</v>
      </c>
      <c r="C299" s="2" t="inlineStr">
        <is>
          <t>Lego City</t>
        </is>
      </c>
      <c r="D299" s="2" t="inlineStr">
        <is>
          <t>LEGO 60482 Rides – Fire Truck</t>
        </is>
      </c>
      <c r="E299" s="3" t="n">
        <v>8.49</v>
      </c>
    </row>
    <row r="300">
      <c r="A300" s="2" t="inlineStr">
        <is>
          <t>JB Spielwaren</t>
        </is>
      </c>
      <c r="B300" s="2" t="n">
        <v>60504</v>
      </c>
      <c r="C300" s="2" t="inlineStr">
        <is>
          <t>Lego City</t>
        </is>
      </c>
      <c r="D300" s="2" t="inlineStr">
        <is>
          <t>LEGO 60504 Coast Guard Rescue Boat &amp; Helicopter</t>
        </is>
      </c>
      <c r="E300" s="3" t="n">
        <v>87.98999999999999</v>
      </c>
    </row>
    <row r="301">
      <c r="A301" s="2" t="inlineStr">
        <is>
          <t>JB Spielwaren</t>
        </is>
      </c>
      <c r="B301" s="2" t="n">
        <v>60481</v>
      </c>
      <c r="C301" s="2" t="inlineStr">
        <is>
          <t>Lego City</t>
        </is>
      </c>
      <c r="D301" s="2" t="inlineStr">
        <is>
          <t>LEGO 60481 Rides – Police Truck</t>
        </is>
      </c>
      <c r="E301" s="3" t="n">
        <v>8.49</v>
      </c>
    </row>
    <row r="302">
      <c r="A302" s="2" t="inlineStr">
        <is>
          <t>JB Spielwaren</t>
        </is>
      </c>
      <c r="B302" s="2" t="n">
        <v>60483</v>
      </c>
      <c r="C302" s="2" t="inlineStr">
        <is>
          <t>Lego City</t>
        </is>
      </c>
      <c r="D302" s="2" t="inlineStr">
        <is>
          <t>LEGO 60483 Rides – Construction Loader</t>
        </is>
      </c>
      <c r="E302" s="3" t="n">
        <v>8.49</v>
      </c>
    </row>
    <row r="303">
      <c r="A303" s="2" t="inlineStr">
        <is>
          <t>JB Spielwaren</t>
        </is>
      </c>
      <c r="B303" s="2" t="n">
        <v>60505</v>
      </c>
      <c r="C303" s="2" t="inlineStr">
        <is>
          <t>Lego City</t>
        </is>
      </c>
      <c r="D303" s="2" t="inlineStr">
        <is>
          <t>LEGO 60505 Airplane, Service Truck &amp; Hovercraft Remix</t>
        </is>
      </c>
      <c r="E303" s="3" t="n">
        <v>55.99</v>
      </c>
    </row>
    <row r="304">
      <c r="A304" s="2" t="inlineStr">
        <is>
          <t>JB Spielwaren</t>
        </is>
      </c>
      <c r="B304" s="2" t="n">
        <v>60479</v>
      </c>
      <c r="C304" s="2" t="inlineStr">
        <is>
          <t>Lego City</t>
        </is>
      </c>
      <c r="D304" s="2" t="inlineStr">
        <is>
          <t>LEGO 60479 Police Prisoner Transport Van</t>
        </is>
      </c>
      <c r="E304" s="3" t="n">
        <v>16.99</v>
      </c>
    </row>
    <row r="305">
      <c r="A305" s="2" t="inlineStr">
        <is>
          <t>JB Spielwaren</t>
        </is>
      </c>
      <c r="B305" s="2" t="n">
        <v>60503</v>
      </c>
      <c r="C305" s="2" t="inlineStr">
        <is>
          <t>Lego City</t>
        </is>
      </c>
      <c r="D305" s="2" t="inlineStr">
        <is>
          <t>LEGO 60503 Coast Guard Helicopter</t>
        </is>
      </c>
      <c r="E305" s="3" t="n">
        <v>41.99</v>
      </c>
    </row>
    <row r="306">
      <c r="A306" s="2" t="inlineStr">
        <is>
          <t>JB Spielwaren</t>
        </is>
      </c>
      <c r="B306" s="2" t="n">
        <v>60500</v>
      </c>
      <c r="C306" s="2" t="inlineStr">
        <is>
          <t>Lego City</t>
        </is>
      </c>
      <c r="D306" s="2" t="inlineStr">
        <is>
          <t>LEGO 60500 The LEGO® Van</t>
        </is>
      </c>
      <c r="E306" s="3" t="n">
        <v>25.49</v>
      </c>
    </row>
    <row r="307">
      <c r="A307" s="2" t="inlineStr">
        <is>
          <t>JB Spielwaren</t>
        </is>
      </c>
      <c r="B307" s="2" t="n">
        <v>60491</v>
      </c>
      <c r="C307" s="2" t="inlineStr">
        <is>
          <t>Lego City</t>
        </is>
      </c>
      <c r="D307" s="2" t="inlineStr">
        <is>
          <t>LEGO 60491 Motorcycle Transporter</t>
        </is>
      </c>
      <c r="E307" s="3" t="n">
        <v>16.99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4"/>
  <sheetViews>
    <sheetView workbookViewId="0">
      <pane ySplit="1" topLeftCell="A2" activePane="bottomLeft" state="frozen"/>
      <selection pane="bottomLeft" activeCell="A1" sqref="A1"/>
    </sheetView>
  </sheetViews>
  <sheetFormatPr baseColWidth="8" defaultRowHeight="15"/>
  <cols>
    <col width="12" customWidth="1" min="1" max="1"/>
    <col width="48" customWidth="1" min="2" max="2"/>
    <col width="16" customWidth="1" min="3" max="3"/>
    <col width="16" customWidth="1" min="4" max="4"/>
    <col width="18" customWidth="1" min="5" max="5"/>
    <col width="16" customWidth="1" min="6" max="6"/>
    <col width="18" customWidth="1" min="7" max="7"/>
    <col width="18" customWidth="1" min="8" max="8"/>
    <col width="16" customWidth="1" min="9" max="9"/>
  </cols>
  <sheetData>
    <row r="1">
      <c r="A1" s="4" t="inlineStr">
        <is>
          <t>ProductID</t>
        </is>
      </c>
      <c r="B1" s="4" t="inlineStr">
        <is>
          <t>Product Name</t>
        </is>
      </c>
      <c r="C1" s="4" t="inlineStr">
        <is>
          <t>Category</t>
        </is>
      </c>
      <c r="D1" s="4" t="inlineStr">
        <is>
          <t>Lowest Price (€)</t>
        </is>
      </c>
      <c r="E1" s="4" t="inlineStr">
        <is>
          <t>Lowest Price Shop</t>
        </is>
      </c>
      <c r="F1" s="4" t="inlineStr">
        <is>
          <t>Highest Price (€)</t>
        </is>
      </c>
      <c r="G1" s="4" t="inlineStr">
        <is>
          <t>Highest Price Shop</t>
        </is>
      </c>
      <c r="H1" s="4" t="inlineStr">
        <is>
          <t>Price Difference (€)</t>
        </is>
      </c>
      <c r="I1" s="4" t="inlineStr">
        <is>
          <t># Shops Offering</t>
        </is>
      </c>
    </row>
    <row r="2">
      <c r="A2" s="5" t="n">
        <v>10305</v>
      </c>
      <c r="B2" s="6">
        <f>INDEX('Raw Data'!$D$2:$D$307,MATCH(A2,'Raw Data'!$B$2:$B$307,0))</f>
        <v/>
      </c>
      <c r="C2" s="5">
        <f>INDEX('Raw Data'!$C$2:$C$307,MATCH(A2,'Raw Data'!$B$2:$B$307,0))</f>
        <v/>
      </c>
      <c r="D2" s="7">
        <f>_xlfn.MINIFS('Raw Data'!$E$2:$E$307,'Raw Data'!$B$2:$B$307,A2)</f>
        <v/>
      </c>
      <c r="E2" s="5">
        <f>INDEX('Raw Data'!$A$2:$A$307,MATCH(1,INDEX(('Raw Data'!$B$2:$B$307=A2)*('Raw Data'!$E$2:$E$307=D2),0),0))</f>
        <v/>
      </c>
      <c r="F2" s="7">
        <f>_xlfn.MAXIFS('Raw Data'!$E$2:$E$307,'Raw Data'!$B$2:$B$307,A2)</f>
        <v/>
      </c>
      <c r="G2" s="5">
        <f>INDEX('Raw Data'!$A$2:$A$307,MATCH(1,INDEX(('Raw Data'!$B$2:$B$307=A2)*('Raw Data'!$E$2:$E$307=F2),0),0))</f>
        <v/>
      </c>
      <c r="H2" s="7">
        <f>F2-D2</f>
        <v/>
      </c>
      <c r="I2" s="5">
        <f>COUNTIF('Raw Data'!$B$2:$B$307,A2)</f>
        <v/>
      </c>
    </row>
    <row r="3">
      <c r="A3" s="5" t="n">
        <v>10307</v>
      </c>
      <c r="B3" s="6">
        <f>INDEX('Raw Data'!$D$2:$D$307,MATCH(A3,'Raw Data'!$B$2:$B$307,0))</f>
        <v/>
      </c>
      <c r="C3" s="5">
        <f>INDEX('Raw Data'!$C$2:$C$307,MATCH(A3,'Raw Data'!$B$2:$B$307,0))</f>
        <v/>
      </c>
      <c r="D3" s="7">
        <f>_xlfn.MINIFS('Raw Data'!$E$2:$E$307,'Raw Data'!$B$2:$B$307,A3)</f>
        <v/>
      </c>
      <c r="E3" s="5">
        <f>INDEX('Raw Data'!$A$2:$A$307,MATCH(1,INDEX(('Raw Data'!$B$2:$B$307=A3)*('Raw Data'!$E$2:$E$307=D3),0),0))</f>
        <v/>
      </c>
      <c r="F3" s="7">
        <f>_xlfn.MAXIFS('Raw Data'!$E$2:$E$307,'Raw Data'!$B$2:$B$307,A3)</f>
        <v/>
      </c>
      <c r="G3" s="5">
        <f>INDEX('Raw Data'!$A$2:$A$307,MATCH(1,INDEX(('Raw Data'!$B$2:$B$307=A3)*('Raw Data'!$E$2:$E$307=F3),0),0))</f>
        <v/>
      </c>
      <c r="H3" s="7">
        <f>F3-D3</f>
        <v/>
      </c>
      <c r="I3" s="5">
        <f>COUNTIF('Raw Data'!$B$2:$B$307,A3)</f>
        <v/>
      </c>
    </row>
    <row r="4">
      <c r="A4" s="5" t="n">
        <v>10315</v>
      </c>
      <c r="B4" s="6">
        <f>INDEX('Raw Data'!$D$2:$D$307,MATCH(A4,'Raw Data'!$B$2:$B$307,0))</f>
        <v/>
      </c>
      <c r="C4" s="5">
        <f>INDEX('Raw Data'!$C$2:$C$307,MATCH(A4,'Raw Data'!$B$2:$B$307,0))</f>
        <v/>
      </c>
      <c r="D4" s="7">
        <f>_xlfn.MINIFS('Raw Data'!$E$2:$E$307,'Raw Data'!$B$2:$B$307,A4)</f>
        <v/>
      </c>
      <c r="E4" s="5">
        <f>INDEX('Raw Data'!$A$2:$A$307,MATCH(1,INDEX(('Raw Data'!$B$2:$B$307=A4)*('Raw Data'!$E$2:$E$307=D4),0),0))</f>
        <v/>
      </c>
      <c r="F4" s="7">
        <f>_xlfn.MAXIFS('Raw Data'!$E$2:$E$307,'Raw Data'!$B$2:$B$307,A4)</f>
        <v/>
      </c>
      <c r="G4" s="5">
        <f>INDEX('Raw Data'!$A$2:$A$307,MATCH(1,INDEX(('Raw Data'!$B$2:$B$307=A4)*('Raw Data'!$E$2:$E$307=F4),0),0))</f>
        <v/>
      </c>
      <c r="H4" s="7">
        <f>F4-D4</f>
        <v/>
      </c>
      <c r="I4" s="5">
        <f>COUNTIF('Raw Data'!$B$2:$B$307,A4)</f>
        <v/>
      </c>
    </row>
    <row r="5">
      <c r="A5" s="5" t="n">
        <v>10328</v>
      </c>
      <c r="B5" s="6">
        <f>INDEX('Raw Data'!$D$2:$D$307,MATCH(A5,'Raw Data'!$B$2:$B$307,0))</f>
        <v/>
      </c>
      <c r="C5" s="5">
        <f>INDEX('Raw Data'!$C$2:$C$307,MATCH(A5,'Raw Data'!$B$2:$B$307,0))</f>
        <v/>
      </c>
      <c r="D5" s="7">
        <f>_xlfn.MINIFS('Raw Data'!$E$2:$E$307,'Raw Data'!$B$2:$B$307,A5)</f>
        <v/>
      </c>
      <c r="E5" s="5">
        <f>INDEX('Raw Data'!$A$2:$A$307,MATCH(1,INDEX(('Raw Data'!$B$2:$B$307=A5)*('Raw Data'!$E$2:$E$307=D5),0),0))</f>
        <v/>
      </c>
      <c r="F5" s="7">
        <f>_xlfn.MAXIFS('Raw Data'!$E$2:$E$307,'Raw Data'!$B$2:$B$307,A5)</f>
        <v/>
      </c>
      <c r="G5" s="5">
        <f>INDEX('Raw Data'!$A$2:$A$307,MATCH(1,INDEX(('Raw Data'!$B$2:$B$307=A5)*('Raw Data'!$E$2:$E$307=F5),0),0))</f>
        <v/>
      </c>
      <c r="H5" s="7">
        <f>F5-D5</f>
        <v/>
      </c>
      <c r="I5" s="5">
        <f>COUNTIF('Raw Data'!$B$2:$B$307,A5)</f>
        <v/>
      </c>
    </row>
    <row r="6">
      <c r="A6" s="5" t="n">
        <v>10331</v>
      </c>
      <c r="B6" s="6">
        <f>INDEX('Raw Data'!$D$2:$D$307,MATCH(A6,'Raw Data'!$B$2:$B$307,0))</f>
        <v/>
      </c>
      <c r="C6" s="5">
        <f>INDEX('Raw Data'!$C$2:$C$307,MATCH(A6,'Raw Data'!$B$2:$B$307,0))</f>
        <v/>
      </c>
      <c r="D6" s="7">
        <f>_xlfn.MINIFS('Raw Data'!$E$2:$E$307,'Raw Data'!$B$2:$B$307,A6)</f>
        <v/>
      </c>
      <c r="E6" s="5">
        <f>INDEX('Raw Data'!$A$2:$A$307,MATCH(1,INDEX(('Raw Data'!$B$2:$B$307=A6)*('Raw Data'!$E$2:$E$307=D6),0),0))</f>
        <v/>
      </c>
      <c r="F6" s="7">
        <f>_xlfn.MAXIFS('Raw Data'!$E$2:$E$307,'Raw Data'!$B$2:$B$307,A6)</f>
        <v/>
      </c>
      <c r="G6" s="5">
        <f>INDEX('Raw Data'!$A$2:$A$307,MATCH(1,INDEX(('Raw Data'!$B$2:$B$307=A6)*('Raw Data'!$E$2:$E$307=F6),0),0))</f>
        <v/>
      </c>
      <c r="H6" s="7">
        <f>F6-D6</f>
        <v/>
      </c>
      <c r="I6" s="5">
        <f>COUNTIF('Raw Data'!$B$2:$B$307,A6)</f>
        <v/>
      </c>
    </row>
    <row r="7">
      <c r="A7" s="5" t="n">
        <v>10333</v>
      </c>
      <c r="B7" s="6">
        <f>INDEX('Raw Data'!$D$2:$D$307,MATCH(A7,'Raw Data'!$B$2:$B$307,0))</f>
        <v/>
      </c>
      <c r="C7" s="5">
        <f>INDEX('Raw Data'!$C$2:$C$307,MATCH(A7,'Raw Data'!$B$2:$B$307,0))</f>
        <v/>
      </c>
      <c r="D7" s="7">
        <f>_xlfn.MINIFS('Raw Data'!$E$2:$E$307,'Raw Data'!$B$2:$B$307,A7)</f>
        <v/>
      </c>
      <c r="E7" s="5">
        <f>INDEX('Raw Data'!$A$2:$A$307,MATCH(1,INDEX(('Raw Data'!$B$2:$B$307=A7)*('Raw Data'!$E$2:$E$307=D7),0),0))</f>
        <v/>
      </c>
      <c r="F7" s="7">
        <f>_xlfn.MAXIFS('Raw Data'!$E$2:$E$307,'Raw Data'!$B$2:$B$307,A7)</f>
        <v/>
      </c>
      <c r="G7" s="5">
        <f>INDEX('Raw Data'!$A$2:$A$307,MATCH(1,INDEX(('Raw Data'!$B$2:$B$307=A7)*('Raw Data'!$E$2:$E$307=F7),0),0))</f>
        <v/>
      </c>
      <c r="H7" s="7">
        <f>F7-D7</f>
        <v/>
      </c>
      <c r="I7" s="5">
        <f>COUNTIF('Raw Data'!$B$2:$B$307,A7)</f>
        <v/>
      </c>
    </row>
    <row r="8">
      <c r="A8" s="5" t="n">
        <v>10335</v>
      </c>
      <c r="B8" s="6">
        <f>INDEX('Raw Data'!$D$2:$D$307,MATCH(A8,'Raw Data'!$B$2:$B$307,0))</f>
        <v/>
      </c>
      <c r="C8" s="5">
        <f>INDEX('Raw Data'!$C$2:$C$307,MATCH(A8,'Raw Data'!$B$2:$B$307,0))</f>
        <v/>
      </c>
      <c r="D8" s="7">
        <f>_xlfn.MINIFS('Raw Data'!$E$2:$E$307,'Raw Data'!$B$2:$B$307,A8)</f>
        <v/>
      </c>
      <c r="E8" s="5">
        <f>INDEX('Raw Data'!$A$2:$A$307,MATCH(1,INDEX(('Raw Data'!$B$2:$B$307=A8)*('Raw Data'!$E$2:$E$307=D8),0),0))</f>
        <v/>
      </c>
      <c r="F8" s="7">
        <f>_xlfn.MAXIFS('Raw Data'!$E$2:$E$307,'Raw Data'!$B$2:$B$307,A8)</f>
        <v/>
      </c>
      <c r="G8" s="5">
        <f>INDEX('Raw Data'!$A$2:$A$307,MATCH(1,INDEX(('Raw Data'!$B$2:$B$307=A8)*('Raw Data'!$E$2:$E$307=F8),0),0))</f>
        <v/>
      </c>
      <c r="H8" s="7">
        <f>F8-D8</f>
        <v/>
      </c>
      <c r="I8" s="5">
        <f>COUNTIF('Raw Data'!$B$2:$B$307,A8)</f>
        <v/>
      </c>
    </row>
    <row r="9">
      <c r="A9" s="5" t="n">
        <v>10337</v>
      </c>
      <c r="B9" s="6">
        <f>INDEX('Raw Data'!$D$2:$D$307,MATCH(A9,'Raw Data'!$B$2:$B$307,0))</f>
        <v/>
      </c>
      <c r="C9" s="5">
        <f>INDEX('Raw Data'!$C$2:$C$307,MATCH(A9,'Raw Data'!$B$2:$B$307,0))</f>
        <v/>
      </c>
      <c r="D9" s="7">
        <f>_xlfn.MINIFS('Raw Data'!$E$2:$E$307,'Raw Data'!$B$2:$B$307,A9)</f>
        <v/>
      </c>
      <c r="E9" s="5">
        <f>INDEX('Raw Data'!$A$2:$A$307,MATCH(1,INDEX(('Raw Data'!$B$2:$B$307=A9)*('Raw Data'!$E$2:$E$307=D9),0),0))</f>
        <v/>
      </c>
      <c r="F9" s="7">
        <f>_xlfn.MAXIFS('Raw Data'!$E$2:$E$307,'Raw Data'!$B$2:$B$307,A9)</f>
        <v/>
      </c>
      <c r="G9" s="5">
        <f>INDEX('Raw Data'!$A$2:$A$307,MATCH(1,INDEX(('Raw Data'!$B$2:$B$307=A9)*('Raw Data'!$E$2:$E$307=F9),0),0))</f>
        <v/>
      </c>
      <c r="H9" s="7">
        <f>F9-D9</f>
        <v/>
      </c>
      <c r="I9" s="5">
        <f>COUNTIF('Raw Data'!$B$2:$B$307,A9)</f>
        <v/>
      </c>
    </row>
    <row r="10">
      <c r="A10" s="5" t="n">
        <v>10352</v>
      </c>
      <c r="B10" s="6">
        <f>INDEX('Raw Data'!$D$2:$D$307,MATCH(A10,'Raw Data'!$B$2:$B$307,0))</f>
        <v/>
      </c>
      <c r="C10" s="5">
        <f>INDEX('Raw Data'!$C$2:$C$307,MATCH(A10,'Raw Data'!$B$2:$B$307,0))</f>
        <v/>
      </c>
      <c r="D10" s="7">
        <f>_xlfn.MINIFS('Raw Data'!$E$2:$E$307,'Raw Data'!$B$2:$B$307,A10)</f>
        <v/>
      </c>
      <c r="E10" s="5">
        <f>INDEX('Raw Data'!$A$2:$A$307,MATCH(1,INDEX(('Raw Data'!$B$2:$B$307=A10)*('Raw Data'!$E$2:$E$307=D10),0),0))</f>
        <v/>
      </c>
      <c r="F10" s="7">
        <f>_xlfn.MAXIFS('Raw Data'!$E$2:$E$307,'Raw Data'!$B$2:$B$307,A10)</f>
        <v/>
      </c>
      <c r="G10" s="5">
        <f>INDEX('Raw Data'!$A$2:$A$307,MATCH(1,INDEX(('Raw Data'!$B$2:$B$307=A10)*('Raw Data'!$E$2:$E$307=F10),0),0))</f>
        <v/>
      </c>
      <c r="H10" s="7">
        <f>F10-D10</f>
        <v/>
      </c>
      <c r="I10" s="5">
        <f>COUNTIF('Raw Data'!$B$2:$B$307,A10)</f>
        <v/>
      </c>
    </row>
    <row r="11">
      <c r="A11" s="5" t="n">
        <v>10356</v>
      </c>
      <c r="B11" s="6">
        <f>INDEX('Raw Data'!$D$2:$D$307,MATCH(A11,'Raw Data'!$B$2:$B$307,0))</f>
        <v/>
      </c>
      <c r="C11" s="5">
        <f>INDEX('Raw Data'!$C$2:$C$307,MATCH(A11,'Raw Data'!$B$2:$B$307,0))</f>
        <v/>
      </c>
      <c r="D11" s="7">
        <f>_xlfn.MINIFS('Raw Data'!$E$2:$E$307,'Raw Data'!$B$2:$B$307,A11)</f>
        <v/>
      </c>
      <c r="E11" s="5">
        <f>INDEX('Raw Data'!$A$2:$A$307,MATCH(1,INDEX(('Raw Data'!$B$2:$B$307=A11)*('Raw Data'!$E$2:$E$307=D11),0),0))</f>
        <v/>
      </c>
      <c r="F11" s="7">
        <f>_xlfn.MAXIFS('Raw Data'!$E$2:$E$307,'Raw Data'!$B$2:$B$307,A11)</f>
        <v/>
      </c>
      <c r="G11" s="5">
        <f>INDEX('Raw Data'!$A$2:$A$307,MATCH(1,INDEX(('Raw Data'!$B$2:$B$307=A11)*('Raw Data'!$E$2:$E$307=F11),0),0))</f>
        <v/>
      </c>
      <c r="H11" s="7">
        <f>F11-D11</f>
        <v/>
      </c>
      <c r="I11" s="5">
        <f>COUNTIF('Raw Data'!$B$2:$B$307,A11)</f>
        <v/>
      </c>
    </row>
    <row r="12">
      <c r="A12" s="5" t="n">
        <v>10360</v>
      </c>
      <c r="B12" s="6">
        <f>INDEX('Raw Data'!$D$2:$D$307,MATCH(A12,'Raw Data'!$B$2:$B$307,0))</f>
        <v/>
      </c>
      <c r="C12" s="5">
        <f>INDEX('Raw Data'!$C$2:$C$307,MATCH(A12,'Raw Data'!$B$2:$B$307,0))</f>
        <v/>
      </c>
      <c r="D12" s="7">
        <f>_xlfn.MINIFS('Raw Data'!$E$2:$E$307,'Raw Data'!$B$2:$B$307,A12)</f>
        <v/>
      </c>
      <c r="E12" s="5">
        <f>INDEX('Raw Data'!$A$2:$A$307,MATCH(1,INDEX(('Raw Data'!$B$2:$B$307=A12)*('Raw Data'!$E$2:$E$307=D12),0),0))</f>
        <v/>
      </c>
      <c r="F12" s="7">
        <f>_xlfn.MAXIFS('Raw Data'!$E$2:$E$307,'Raw Data'!$B$2:$B$307,A12)</f>
        <v/>
      </c>
      <c r="G12" s="5">
        <f>INDEX('Raw Data'!$A$2:$A$307,MATCH(1,INDEX(('Raw Data'!$B$2:$B$307=A12)*('Raw Data'!$E$2:$E$307=F12),0),0))</f>
        <v/>
      </c>
      <c r="H12" s="7">
        <f>F12-D12</f>
        <v/>
      </c>
      <c r="I12" s="5">
        <f>COUNTIF('Raw Data'!$B$2:$B$307,A12)</f>
        <v/>
      </c>
    </row>
    <row r="13">
      <c r="A13" s="5" t="n">
        <v>10362</v>
      </c>
      <c r="B13" s="6">
        <f>INDEX('Raw Data'!$D$2:$D$307,MATCH(A13,'Raw Data'!$B$2:$B$307,0))</f>
        <v/>
      </c>
      <c r="C13" s="5">
        <f>INDEX('Raw Data'!$C$2:$C$307,MATCH(A13,'Raw Data'!$B$2:$B$307,0))</f>
        <v/>
      </c>
      <c r="D13" s="7">
        <f>_xlfn.MINIFS('Raw Data'!$E$2:$E$307,'Raw Data'!$B$2:$B$307,A13)</f>
        <v/>
      </c>
      <c r="E13" s="5">
        <f>INDEX('Raw Data'!$A$2:$A$307,MATCH(1,INDEX(('Raw Data'!$B$2:$B$307=A13)*('Raw Data'!$E$2:$E$307=D13),0),0))</f>
        <v/>
      </c>
      <c r="F13" s="7">
        <f>_xlfn.MAXIFS('Raw Data'!$E$2:$E$307,'Raw Data'!$B$2:$B$307,A13)</f>
        <v/>
      </c>
      <c r="G13" s="5">
        <f>INDEX('Raw Data'!$A$2:$A$307,MATCH(1,INDEX(('Raw Data'!$B$2:$B$307=A13)*('Raw Data'!$E$2:$E$307=F13),0),0))</f>
        <v/>
      </c>
      <c r="H13" s="7">
        <f>F13-D13</f>
        <v/>
      </c>
      <c r="I13" s="5">
        <f>COUNTIF('Raw Data'!$B$2:$B$307,A13)</f>
        <v/>
      </c>
    </row>
    <row r="14">
      <c r="A14" s="5" t="n">
        <v>10365</v>
      </c>
      <c r="B14" s="6">
        <f>INDEX('Raw Data'!$D$2:$D$307,MATCH(A14,'Raw Data'!$B$2:$B$307,0))</f>
        <v/>
      </c>
      <c r="C14" s="5">
        <f>INDEX('Raw Data'!$C$2:$C$307,MATCH(A14,'Raw Data'!$B$2:$B$307,0))</f>
        <v/>
      </c>
      <c r="D14" s="7">
        <f>_xlfn.MINIFS('Raw Data'!$E$2:$E$307,'Raw Data'!$B$2:$B$307,A14)</f>
        <v/>
      </c>
      <c r="E14" s="5">
        <f>INDEX('Raw Data'!$A$2:$A$307,MATCH(1,INDEX(('Raw Data'!$B$2:$B$307=A14)*('Raw Data'!$E$2:$E$307=D14),0),0))</f>
        <v/>
      </c>
      <c r="F14" s="7">
        <f>_xlfn.MAXIFS('Raw Data'!$E$2:$E$307,'Raw Data'!$B$2:$B$307,A14)</f>
        <v/>
      </c>
      <c r="G14" s="5">
        <f>INDEX('Raw Data'!$A$2:$A$307,MATCH(1,INDEX(('Raw Data'!$B$2:$B$307=A14)*('Raw Data'!$E$2:$E$307=F14),0),0))</f>
        <v/>
      </c>
      <c r="H14" s="7">
        <f>F14-D14</f>
        <v/>
      </c>
      <c r="I14" s="5">
        <f>COUNTIF('Raw Data'!$B$2:$B$307,A14)</f>
        <v/>
      </c>
    </row>
    <row r="15">
      <c r="A15" s="5" t="n">
        <v>11370</v>
      </c>
      <c r="B15" s="6">
        <f>INDEX('Raw Data'!$D$2:$D$307,MATCH(A15,'Raw Data'!$B$2:$B$307,0))</f>
        <v/>
      </c>
      <c r="C15" s="5">
        <f>INDEX('Raw Data'!$C$2:$C$307,MATCH(A15,'Raw Data'!$B$2:$B$307,0))</f>
        <v/>
      </c>
      <c r="D15" s="7">
        <f>_xlfn.MINIFS('Raw Data'!$E$2:$E$307,'Raw Data'!$B$2:$B$307,A15)</f>
        <v/>
      </c>
      <c r="E15" s="5">
        <f>INDEX('Raw Data'!$A$2:$A$307,MATCH(1,INDEX(('Raw Data'!$B$2:$B$307=A15)*('Raw Data'!$E$2:$E$307=D15),0),0))</f>
        <v/>
      </c>
      <c r="F15" s="7">
        <f>_xlfn.MAXIFS('Raw Data'!$E$2:$E$307,'Raw Data'!$B$2:$B$307,A15)</f>
        <v/>
      </c>
      <c r="G15" s="5">
        <f>INDEX('Raw Data'!$A$2:$A$307,MATCH(1,INDEX(('Raw Data'!$B$2:$B$307=A15)*('Raw Data'!$E$2:$E$307=F15),0),0))</f>
        <v/>
      </c>
      <c r="H15" s="7">
        <f>F15-D15</f>
        <v/>
      </c>
      <c r="I15" s="5">
        <f>COUNTIF('Raw Data'!$B$2:$B$307,A15)</f>
        <v/>
      </c>
    </row>
    <row r="16">
      <c r="A16" s="5" t="n">
        <v>11371</v>
      </c>
      <c r="B16" s="6">
        <f>INDEX('Raw Data'!$D$2:$D$307,MATCH(A16,'Raw Data'!$B$2:$B$307,0))</f>
        <v/>
      </c>
      <c r="C16" s="5">
        <f>INDEX('Raw Data'!$C$2:$C$307,MATCH(A16,'Raw Data'!$B$2:$B$307,0))</f>
        <v/>
      </c>
      <c r="D16" s="7">
        <f>_xlfn.MINIFS('Raw Data'!$E$2:$E$307,'Raw Data'!$B$2:$B$307,A16)</f>
        <v/>
      </c>
      <c r="E16" s="5">
        <f>INDEX('Raw Data'!$A$2:$A$307,MATCH(1,INDEX(('Raw Data'!$B$2:$B$307=A16)*('Raw Data'!$E$2:$E$307=D16),0),0))</f>
        <v/>
      </c>
      <c r="F16" s="7">
        <f>_xlfn.MAXIFS('Raw Data'!$E$2:$E$307,'Raw Data'!$B$2:$B$307,A16)</f>
        <v/>
      </c>
      <c r="G16" s="5">
        <f>INDEX('Raw Data'!$A$2:$A$307,MATCH(1,INDEX(('Raw Data'!$B$2:$B$307=A16)*('Raw Data'!$E$2:$E$307=F16),0),0))</f>
        <v/>
      </c>
      <c r="H16" s="7">
        <f>F16-D16</f>
        <v/>
      </c>
      <c r="I16" s="5">
        <f>COUNTIF('Raw Data'!$B$2:$B$307,A16)</f>
        <v/>
      </c>
    </row>
    <row r="17">
      <c r="A17" s="5" t="n">
        <v>11373</v>
      </c>
      <c r="B17" s="6">
        <f>INDEX('Raw Data'!$D$2:$D$307,MATCH(A17,'Raw Data'!$B$2:$B$307,0))</f>
        <v/>
      </c>
      <c r="C17" s="5">
        <f>INDEX('Raw Data'!$C$2:$C$307,MATCH(A17,'Raw Data'!$B$2:$B$307,0))</f>
        <v/>
      </c>
      <c r="D17" s="7">
        <f>_xlfn.MINIFS('Raw Data'!$E$2:$E$307,'Raw Data'!$B$2:$B$307,A17)</f>
        <v/>
      </c>
      <c r="E17" s="5">
        <f>INDEX('Raw Data'!$A$2:$A$307,MATCH(1,INDEX(('Raw Data'!$B$2:$B$307=A17)*('Raw Data'!$E$2:$E$307=D17),0),0))</f>
        <v/>
      </c>
      <c r="F17" s="7">
        <f>_xlfn.MAXIFS('Raw Data'!$E$2:$E$307,'Raw Data'!$B$2:$B$307,A17)</f>
        <v/>
      </c>
      <c r="G17" s="5">
        <f>INDEX('Raw Data'!$A$2:$A$307,MATCH(1,INDEX(('Raw Data'!$B$2:$B$307=A17)*('Raw Data'!$E$2:$E$307=F17),0),0))</f>
        <v/>
      </c>
      <c r="H17" s="7">
        <f>F17-D17</f>
        <v/>
      </c>
      <c r="I17" s="5">
        <f>COUNTIF('Raw Data'!$B$2:$B$307,A17)</f>
        <v/>
      </c>
    </row>
    <row r="18">
      <c r="A18" s="5" t="n">
        <v>11375</v>
      </c>
      <c r="B18" s="6">
        <f>INDEX('Raw Data'!$D$2:$D$307,MATCH(A18,'Raw Data'!$B$2:$B$307,0))</f>
        <v/>
      </c>
      <c r="C18" s="5">
        <f>INDEX('Raw Data'!$C$2:$C$307,MATCH(A18,'Raw Data'!$B$2:$B$307,0))</f>
        <v/>
      </c>
      <c r="D18" s="7">
        <f>_xlfn.MINIFS('Raw Data'!$E$2:$E$307,'Raw Data'!$B$2:$B$307,A18)</f>
        <v/>
      </c>
      <c r="E18" s="5">
        <f>INDEX('Raw Data'!$A$2:$A$307,MATCH(1,INDEX(('Raw Data'!$B$2:$B$307=A18)*('Raw Data'!$E$2:$E$307=D18),0),0))</f>
        <v/>
      </c>
      <c r="F18" s="7">
        <f>_xlfn.MAXIFS('Raw Data'!$E$2:$E$307,'Raw Data'!$B$2:$B$307,A18)</f>
        <v/>
      </c>
      <c r="G18" s="5">
        <f>INDEX('Raw Data'!$A$2:$A$307,MATCH(1,INDEX(('Raw Data'!$B$2:$B$307=A18)*('Raw Data'!$E$2:$E$307=F18),0),0))</f>
        <v/>
      </c>
      <c r="H18" s="7">
        <f>F18-D18</f>
        <v/>
      </c>
      <c r="I18" s="5">
        <f>COUNTIF('Raw Data'!$B$2:$B$307,A18)</f>
        <v/>
      </c>
    </row>
    <row r="19">
      <c r="A19" s="5" t="n">
        <v>11376</v>
      </c>
      <c r="B19" s="6">
        <f>INDEX('Raw Data'!$D$2:$D$307,MATCH(A19,'Raw Data'!$B$2:$B$307,0))</f>
        <v/>
      </c>
      <c r="C19" s="5">
        <f>INDEX('Raw Data'!$C$2:$C$307,MATCH(A19,'Raw Data'!$B$2:$B$307,0))</f>
        <v/>
      </c>
      <c r="D19" s="7">
        <f>_xlfn.MINIFS('Raw Data'!$E$2:$E$307,'Raw Data'!$B$2:$B$307,A19)</f>
        <v/>
      </c>
      <c r="E19" s="5">
        <f>INDEX('Raw Data'!$A$2:$A$307,MATCH(1,INDEX(('Raw Data'!$B$2:$B$307=A19)*('Raw Data'!$E$2:$E$307=D19),0),0))</f>
        <v/>
      </c>
      <c r="F19" s="7">
        <f>_xlfn.MAXIFS('Raw Data'!$E$2:$E$307,'Raw Data'!$B$2:$B$307,A19)</f>
        <v/>
      </c>
      <c r="G19" s="5">
        <f>INDEX('Raw Data'!$A$2:$A$307,MATCH(1,INDEX(('Raw Data'!$B$2:$B$307=A19)*('Raw Data'!$E$2:$E$307=F19),0),0))</f>
        <v/>
      </c>
      <c r="H19" s="7">
        <f>F19-D19</f>
        <v/>
      </c>
      <c r="I19" s="5">
        <f>COUNTIF('Raw Data'!$B$2:$B$307,A19)</f>
        <v/>
      </c>
    </row>
    <row r="20">
      <c r="A20" s="5" t="n">
        <v>11378</v>
      </c>
      <c r="B20" s="6">
        <f>INDEX('Raw Data'!$D$2:$D$307,MATCH(A20,'Raw Data'!$B$2:$B$307,0))</f>
        <v/>
      </c>
      <c r="C20" s="5">
        <f>INDEX('Raw Data'!$C$2:$C$307,MATCH(A20,'Raw Data'!$B$2:$B$307,0))</f>
        <v/>
      </c>
      <c r="D20" s="7">
        <f>_xlfn.MINIFS('Raw Data'!$E$2:$E$307,'Raw Data'!$B$2:$B$307,A20)</f>
        <v/>
      </c>
      <c r="E20" s="5">
        <f>INDEX('Raw Data'!$A$2:$A$307,MATCH(1,INDEX(('Raw Data'!$B$2:$B$307=A20)*('Raw Data'!$E$2:$E$307=D20),0),0))</f>
        <v/>
      </c>
      <c r="F20" s="7">
        <f>_xlfn.MAXIFS('Raw Data'!$E$2:$E$307,'Raw Data'!$B$2:$B$307,A20)</f>
        <v/>
      </c>
      <c r="G20" s="5">
        <f>INDEX('Raw Data'!$A$2:$A$307,MATCH(1,INDEX(('Raw Data'!$B$2:$B$307=A20)*('Raw Data'!$E$2:$E$307=F20),0),0))</f>
        <v/>
      </c>
      <c r="H20" s="7">
        <f>F20-D20</f>
        <v/>
      </c>
      <c r="I20" s="5">
        <f>COUNTIF('Raw Data'!$B$2:$B$307,A20)</f>
        <v/>
      </c>
    </row>
    <row r="21">
      <c r="A21" s="5" t="n">
        <v>11380</v>
      </c>
      <c r="B21" s="6">
        <f>INDEX('Raw Data'!$D$2:$D$307,MATCH(A21,'Raw Data'!$B$2:$B$307,0))</f>
        <v/>
      </c>
      <c r="C21" s="5">
        <f>INDEX('Raw Data'!$C$2:$C$307,MATCH(A21,'Raw Data'!$B$2:$B$307,0))</f>
        <v/>
      </c>
      <c r="D21" s="7">
        <f>_xlfn.MINIFS('Raw Data'!$E$2:$E$307,'Raw Data'!$B$2:$B$307,A21)</f>
        <v/>
      </c>
      <c r="E21" s="5">
        <f>INDEX('Raw Data'!$A$2:$A$307,MATCH(1,INDEX(('Raw Data'!$B$2:$B$307=A21)*('Raw Data'!$E$2:$E$307=D21),0),0))</f>
        <v/>
      </c>
      <c r="F21" s="7">
        <f>_xlfn.MAXIFS('Raw Data'!$E$2:$E$307,'Raw Data'!$B$2:$B$307,A21)</f>
        <v/>
      </c>
      <c r="G21" s="5">
        <f>INDEX('Raw Data'!$A$2:$A$307,MATCH(1,INDEX(('Raw Data'!$B$2:$B$307=A21)*('Raw Data'!$E$2:$E$307=F21),0),0))</f>
        <v/>
      </c>
      <c r="H21" s="7">
        <f>F21-D21</f>
        <v/>
      </c>
      <c r="I21" s="5">
        <f>COUNTIF('Raw Data'!$B$2:$B$307,A21)</f>
        <v/>
      </c>
    </row>
    <row r="22">
      <c r="A22" s="5" t="n">
        <v>11381</v>
      </c>
      <c r="B22" s="6">
        <f>INDEX('Raw Data'!$D$2:$D$307,MATCH(A22,'Raw Data'!$B$2:$B$307,0))</f>
        <v/>
      </c>
      <c r="C22" s="5">
        <f>INDEX('Raw Data'!$C$2:$C$307,MATCH(A22,'Raw Data'!$B$2:$B$307,0))</f>
        <v/>
      </c>
      <c r="D22" s="7">
        <f>_xlfn.MINIFS('Raw Data'!$E$2:$E$307,'Raw Data'!$B$2:$B$307,A22)</f>
        <v/>
      </c>
      <c r="E22" s="5">
        <f>INDEX('Raw Data'!$A$2:$A$307,MATCH(1,INDEX(('Raw Data'!$B$2:$B$307=A22)*('Raw Data'!$E$2:$E$307=D22),0),0))</f>
        <v/>
      </c>
      <c r="F22" s="7">
        <f>_xlfn.MAXIFS('Raw Data'!$E$2:$E$307,'Raw Data'!$B$2:$B$307,A22)</f>
        <v/>
      </c>
      <c r="G22" s="5">
        <f>INDEX('Raw Data'!$A$2:$A$307,MATCH(1,INDEX(('Raw Data'!$B$2:$B$307=A22)*('Raw Data'!$E$2:$E$307=F22),0),0))</f>
        <v/>
      </c>
      <c r="H22" s="7">
        <f>F22-D22</f>
        <v/>
      </c>
      <c r="I22" s="5">
        <f>COUNTIF('Raw Data'!$B$2:$B$307,A22)</f>
        <v/>
      </c>
    </row>
    <row r="23">
      <c r="A23" s="5" t="n">
        <v>11382</v>
      </c>
      <c r="B23" s="6">
        <f>INDEX('Raw Data'!$D$2:$D$307,MATCH(A23,'Raw Data'!$B$2:$B$307,0))</f>
        <v/>
      </c>
      <c r="C23" s="5">
        <f>INDEX('Raw Data'!$C$2:$C$307,MATCH(A23,'Raw Data'!$B$2:$B$307,0))</f>
        <v/>
      </c>
      <c r="D23" s="7">
        <f>_xlfn.MINIFS('Raw Data'!$E$2:$E$307,'Raw Data'!$B$2:$B$307,A23)</f>
        <v/>
      </c>
      <c r="E23" s="5">
        <f>INDEX('Raw Data'!$A$2:$A$307,MATCH(1,INDEX(('Raw Data'!$B$2:$B$307=A23)*('Raw Data'!$E$2:$E$307=D23),0),0))</f>
        <v/>
      </c>
      <c r="F23" s="7">
        <f>_xlfn.MAXIFS('Raw Data'!$E$2:$E$307,'Raw Data'!$B$2:$B$307,A23)</f>
        <v/>
      </c>
      <c r="G23" s="5">
        <f>INDEX('Raw Data'!$A$2:$A$307,MATCH(1,INDEX(('Raw Data'!$B$2:$B$307=A23)*('Raw Data'!$E$2:$E$307=F23),0),0))</f>
        <v/>
      </c>
      <c r="H23" s="7">
        <f>F23-D23</f>
        <v/>
      </c>
      <c r="I23" s="5">
        <f>COUNTIF('Raw Data'!$B$2:$B$307,A23)</f>
        <v/>
      </c>
    </row>
    <row r="24">
      <c r="A24" s="5" t="n">
        <v>11383</v>
      </c>
      <c r="B24" s="6">
        <f>INDEX('Raw Data'!$D$2:$D$307,MATCH(A24,'Raw Data'!$B$2:$B$307,0))</f>
        <v/>
      </c>
      <c r="C24" s="5">
        <f>INDEX('Raw Data'!$C$2:$C$307,MATCH(A24,'Raw Data'!$B$2:$B$307,0))</f>
        <v/>
      </c>
      <c r="D24" s="7">
        <f>_xlfn.MINIFS('Raw Data'!$E$2:$E$307,'Raw Data'!$B$2:$B$307,A24)</f>
        <v/>
      </c>
      <c r="E24" s="5">
        <f>INDEX('Raw Data'!$A$2:$A$307,MATCH(1,INDEX(('Raw Data'!$B$2:$B$307=A24)*('Raw Data'!$E$2:$E$307=D24),0),0))</f>
        <v/>
      </c>
      <c r="F24" s="7">
        <f>_xlfn.MAXIFS('Raw Data'!$E$2:$E$307,'Raw Data'!$B$2:$B$307,A24)</f>
        <v/>
      </c>
      <c r="G24" s="5">
        <f>INDEX('Raw Data'!$A$2:$A$307,MATCH(1,INDEX(('Raw Data'!$B$2:$B$307=A24)*('Raw Data'!$E$2:$E$307=F24),0),0))</f>
        <v/>
      </c>
      <c r="H24" s="7">
        <f>F24-D24</f>
        <v/>
      </c>
      <c r="I24" s="5">
        <f>COUNTIF('Raw Data'!$B$2:$B$307,A24)</f>
        <v/>
      </c>
    </row>
    <row r="25">
      <c r="A25" s="5" t="n">
        <v>11384</v>
      </c>
      <c r="B25" s="6">
        <f>INDEX('Raw Data'!$D$2:$D$307,MATCH(A25,'Raw Data'!$B$2:$B$307,0))</f>
        <v/>
      </c>
      <c r="C25" s="5">
        <f>INDEX('Raw Data'!$C$2:$C$307,MATCH(A25,'Raw Data'!$B$2:$B$307,0))</f>
        <v/>
      </c>
      <c r="D25" s="7">
        <f>_xlfn.MINIFS('Raw Data'!$E$2:$E$307,'Raw Data'!$B$2:$B$307,A25)</f>
        <v/>
      </c>
      <c r="E25" s="5">
        <f>INDEX('Raw Data'!$A$2:$A$307,MATCH(1,INDEX(('Raw Data'!$B$2:$B$307=A25)*('Raw Data'!$E$2:$E$307=D25),0),0))</f>
        <v/>
      </c>
      <c r="F25" s="7">
        <f>_xlfn.MAXIFS('Raw Data'!$E$2:$E$307,'Raw Data'!$B$2:$B$307,A25)</f>
        <v/>
      </c>
      <c r="G25" s="5">
        <f>INDEX('Raw Data'!$A$2:$A$307,MATCH(1,INDEX(('Raw Data'!$B$2:$B$307=A25)*('Raw Data'!$E$2:$E$307=F25),0),0))</f>
        <v/>
      </c>
      <c r="H25" s="7">
        <f>F25-D25</f>
        <v/>
      </c>
      <c r="I25" s="5">
        <f>COUNTIF('Raw Data'!$B$2:$B$307,A25)</f>
        <v/>
      </c>
    </row>
    <row r="26">
      <c r="A26" s="5" t="n">
        <v>11386</v>
      </c>
      <c r="B26" s="6">
        <f>INDEX('Raw Data'!$D$2:$D$307,MATCH(A26,'Raw Data'!$B$2:$B$307,0))</f>
        <v/>
      </c>
      <c r="C26" s="5">
        <f>INDEX('Raw Data'!$C$2:$C$307,MATCH(A26,'Raw Data'!$B$2:$B$307,0))</f>
        <v/>
      </c>
      <c r="D26" s="7">
        <f>_xlfn.MINIFS('Raw Data'!$E$2:$E$307,'Raw Data'!$B$2:$B$307,A26)</f>
        <v/>
      </c>
      <c r="E26" s="5">
        <f>INDEX('Raw Data'!$A$2:$A$307,MATCH(1,INDEX(('Raw Data'!$B$2:$B$307=A26)*('Raw Data'!$E$2:$E$307=D26),0),0))</f>
        <v/>
      </c>
      <c r="F26" s="7">
        <f>_xlfn.MAXIFS('Raw Data'!$E$2:$E$307,'Raw Data'!$B$2:$B$307,A26)</f>
        <v/>
      </c>
      <c r="G26" s="5">
        <f>INDEX('Raw Data'!$A$2:$A$307,MATCH(1,INDEX(('Raw Data'!$B$2:$B$307=A26)*('Raw Data'!$E$2:$E$307=F26),0),0))</f>
        <v/>
      </c>
      <c r="H26" s="7">
        <f>F26-D26</f>
        <v/>
      </c>
      <c r="I26" s="5">
        <f>COUNTIF('Raw Data'!$B$2:$B$307,A26)</f>
        <v/>
      </c>
    </row>
    <row r="27">
      <c r="A27" s="5" t="n">
        <v>30728</v>
      </c>
      <c r="B27" s="6">
        <f>INDEX('Raw Data'!$D$2:$D$307,MATCH(A27,'Raw Data'!$B$2:$B$307,0))</f>
        <v/>
      </c>
      <c r="C27" s="5">
        <f>INDEX('Raw Data'!$C$2:$C$307,MATCH(A27,'Raw Data'!$B$2:$B$307,0))</f>
        <v/>
      </c>
      <c r="D27" s="7">
        <f>_xlfn.MINIFS('Raw Data'!$E$2:$E$307,'Raw Data'!$B$2:$B$307,A27)</f>
        <v/>
      </c>
      <c r="E27" s="5">
        <f>INDEX('Raw Data'!$A$2:$A$307,MATCH(1,INDEX(('Raw Data'!$B$2:$B$307=A27)*('Raw Data'!$E$2:$E$307=D27),0),0))</f>
        <v/>
      </c>
      <c r="F27" s="7">
        <f>_xlfn.MAXIFS('Raw Data'!$E$2:$E$307,'Raw Data'!$B$2:$B$307,A27)</f>
        <v/>
      </c>
      <c r="G27" s="5">
        <f>INDEX('Raw Data'!$A$2:$A$307,MATCH(1,INDEX(('Raw Data'!$B$2:$B$307=A27)*('Raw Data'!$E$2:$E$307=F27),0),0))</f>
        <v/>
      </c>
      <c r="H27" s="7">
        <f>F27-D27</f>
        <v/>
      </c>
      <c r="I27" s="5">
        <f>COUNTIF('Raw Data'!$B$2:$B$307,A27)</f>
        <v/>
      </c>
    </row>
    <row r="28">
      <c r="A28" s="5" t="n">
        <v>40755</v>
      </c>
      <c r="B28" s="6">
        <f>INDEX('Raw Data'!$D$2:$D$307,MATCH(A28,'Raw Data'!$B$2:$B$307,0))</f>
        <v/>
      </c>
      <c r="C28" s="5">
        <f>INDEX('Raw Data'!$C$2:$C$307,MATCH(A28,'Raw Data'!$B$2:$B$307,0))</f>
        <v/>
      </c>
      <c r="D28" s="7">
        <f>_xlfn.MINIFS('Raw Data'!$E$2:$E$307,'Raw Data'!$B$2:$B$307,A28)</f>
        <v/>
      </c>
      <c r="E28" s="5">
        <f>INDEX('Raw Data'!$A$2:$A$307,MATCH(1,INDEX(('Raw Data'!$B$2:$B$307=A28)*('Raw Data'!$E$2:$E$307=D28),0),0))</f>
        <v/>
      </c>
      <c r="F28" s="7">
        <f>_xlfn.MAXIFS('Raw Data'!$E$2:$E$307,'Raw Data'!$B$2:$B$307,A28)</f>
        <v/>
      </c>
      <c r="G28" s="5">
        <f>INDEX('Raw Data'!$A$2:$A$307,MATCH(1,INDEX(('Raw Data'!$B$2:$B$307=A28)*('Raw Data'!$E$2:$E$307=F28),0),0))</f>
        <v/>
      </c>
      <c r="H28" s="7">
        <f>F28-D28</f>
        <v/>
      </c>
      <c r="I28" s="5">
        <f>COUNTIF('Raw Data'!$B$2:$B$307,A28)</f>
        <v/>
      </c>
    </row>
    <row r="29">
      <c r="A29" s="5" t="n">
        <v>41713</v>
      </c>
      <c r="B29" s="6">
        <f>INDEX('Raw Data'!$D$2:$D$307,MATCH(A29,'Raw Data'!$B$2:$B$307,0))</f>
        <v/>
      </c>
      <c r="C29" s="5">
        <f>INDEX('Raw Data'!$C$2:$C$307,MATCH(A29,'Raw Data'!$B$2:$B$307,0))</f>
        <v/>
      </c>
      <c r="D29" s="7">
        <f>_xlfn.MINIFS('Raw Data'!$E$2:$E$307,'Raw Data'!$B$2:$B$307,A29)</f>
        <v/>
      </c>
      <c r="E29" s="5">
        <f>INDEX('Raw Data'!$A$2:$A$307,MATCH(1,INDEX(('Raw Data'!$B$2:$B$307=A29)*('Raw Data'!$E$2:$E$307=D29),0),0))</f>
        <v/>
      </c>
      <c r="F29" s="7">
        <f>_xlfn.MAXIFS('Raw Data'!$E$2:$E$307,'Raw Data'!$B$2:$B$307,A29)</f>
        <v/>
      </c>
      <c r="G29" s="5">
        <f>INDEX('Raw Data'!$A$2:$A$307,MATCH(1,INDEX(('Raw Data'!$B$2:$B$307=A29)*('Raw Data'!$E$2:$E$307=F29),0),0))</f>
        <v/>
      </c>
      <c r="H29" s="7">
        <f>F29-D29</f>
        <v/>
      </c>
      <c r="I29" s="5">
        <f>COUNTIF('Raw Data'!$B$2:$B$307,A29)</f>
        <v/>
      </c>
    </row>
    <row r="30">
      <c r="A30" s="5" t="n">
        <v>42647</v>
      </c>
      <c r="B30" s="6">
        <f>INDEX('Raw Data'!$D$2:$D$307,MATCH(A30,'Raw Data'!$B$2:$B$307,0))</f>
        <v/>
      </c>
      <c r="C30" s="5">
        <f>INDEX('Raw Data'!$C$2:$C$307,MATCH(A30,'Raw Data'!$B$2:$B$307,0))</f>
        <v/>
      </c>
      <c r="D30" s="7">
        <f>_xlfn.MINIFS('Raw Data'!$E$2:$E$307,'Raw Data'!$B$2:$B$307,A30)</f>
        <v/>
      </c>
      <c r="E30" s="5">
        <f>INDEX('Raw Data'!$A$2:$A$307,MATCH(1,INDEX(('Raw Data'!$B$2:$B$307=A30)*('Raw Data'!$E$2:$E$307=D30),0),0))</f>
        <v/>
      </c>
      <c r="F30" s="7">
        <f>_xlfn.MAXIFS('Raw Data'!$E$2:$E$307,'Raw Data'!$B$2:$B$307,A30)</f>
        <v/>
      </c>
      <c r="G30" s="5">
        <f>INDEX('Raw Data'!$A$2:$A$307,MATCH(1,INDEX(('Raw Data'!$B$2:$B$307=A30)*('Raw Data'!$E$2:$E$307=F30),0),0))</f>
        <v/>
      </c>
      <c r="H30" s="7">
        <f>F30-D30</f>
        <v/>
      </c>
      <c r="I30" s="5">
        <f>COUNTIF('Raw Data'!$B$2:$B$307,A30)</f>
        <v/>
      </c>
    </row>
    <row r="31">
      <c r="A31" s="5" t="n">
        <v>42648</v>
      </c>
      <c r="B31" s="6">
        <f>INDEX('Raw Data'!$D$2:$D$307,MATCH(A31,'Raw Data'!$B$2:$B$307,0))</f>
        <v/>
      </c>
      <c r="C31" s="5">
        <f>INDEX('Raw Data'!$C$2:$C$307,MATCH(A31,'Raw Data'!$B$2:$B$307,0))</f>
        <v/>
      </c>
      <c r="D31" s="7">
        <f>_xlfn.MINIFS('Raw Data'!$E$2:$E$307,'Raw Data'!$B$2:$B$307,A31)</f>
        <v/>
      </c>
      <c r="E31" s="5">
        <f>INDEX('Raw Data'!$A$2:$A$307,MATCH(1,INDEX(('Raw Data'!$B$2:$B$307=A31)*('Raw Data'!$E$2:$E$307=D31),0),0))</f>
        <v/>
      </c>
      <c r="F31" s="7">
        <f>_xlfn.MAXIFS('Raw Data'!$E$2:$E$307,'Raw Data'!$B$2:$B$307,A31)</f>
        <v/>
      </c>
      <c r="G31" s="5">
        <f>INDEX('Raw Data'!$A$2:$A$307,MATCH(1,INDEX(('Raw Data'!$B$2:$B$307=A31)*('Raw Data'!$E$2:$E$307=F31),0),0))</f>
        <v/>
      </c>
      <c r="H31" s="7">
        <f>F31-D31</f>
        <v/>
      </c>
      <c r="I31" s="5">
        <f>COUNTIF('Raw Data'!$B$2:$B$307,A31)</f>
        <v/>
      </c>
    </row>
    <row r="32">
      <c r="A32" s="5" t="n">
        <v>42652</v>
      </c>
      <c r="B32" s="6">
        <f>INDEX('Raw Data'!$D$2:$D$307,MATCH(A32,'Raw Data'!$B$2:$B$307,0))</f>
        <v/>
      </c>
      <c r="C32" s="5">
        <f>INDEX('Raw Data'!$C$2:$C$307,MATCH(A32,'Raw Data'!$B$2:$B$307,0))</f>
        <v/>
      </c>
      <c r="D32" s="7">
        <f>_xlfn.MINIFS('Raw Data'!$E$2:$E$307,'Raw Data'!$B$2:$B$307,A32)</f>
        <v/>
      </c>
      <c r="E32" s="5">
        <f>INDEX('Raw Data'!$A$2:$A$307,MATCH(1,INDEX(('Raw Data'!$B$2:$B$307=A32)*('Raw Data'!$E$2:$E$307=D32),0),0))</f>
        <v/>
      </c>
      <c r="F32" s="7">
        <f>_xlfn.MAXIFS('Raw Data'!$E$2:$E$307,'Raw Data'!$B$2:$B$307,A32)</f>
        <v/>
      </c>
      <c r="G32" s="5">
        <f>INDEX('Raw Data'!$A$2:$A$307,MATCH(1,INDEX(('Raw Data'!$B$2:$B$307=A32)*('Raw Data'!$E$2:$E$307=F32),0),0))</f>
        <v/>
      </c>
      <c r="H32" s="7">
        <f>F32-D32</f>
        <v/>
      </c>
      <c r="I32" s="5">
        <f>COUNTIF('Raw Data'!$B$2:$B$307,A32)</f>
        <v/>
      </c>
    </row>
    <row r="33">
      <c r="A33" s="5" t="n">
        <v>42653</v>
      </c>
      <c r="B33" s="6">
        <f>INDEX('Raw Data'!$D$2:$D$307,MATCH(A33,'Raw Data'!$B$2:$B$307,0))</f>
        <v/>
      </c>
      <c r="C33" s="5">
        <f>INDEX('Raw Data'!$C$2:$C$307,MATCH(A33,'Raw Data'!$B$2:$B$307,0))</f>
        <v/>
      </c>
      <c r="D33" s="7">
        <f>_xlfn.MINIFS('Raw Data'!$E$2:$E$307,'Raw Data'!$B$2:$B$307,A33)</f>
        <v/>
      </c>
      <c r="E33" s="5">
        <f>INDEX('Raw Data'!$A$2:$A$307,MATCH(1,INDEX(('Raw Data'!$B$2:$B$307=A33)*('Raw Data'!$E$2:$E$307=D33),0),0))</f>
        <v/>
      </c>
      <c r="F33" s="7">
        <f>_xlfn.MAXIFS('Raw Data'!$E$2:$E$307,'Raw Data'!$B$2:$B$307,A33)</f>
        <v/>
      </c>
      <c r="G33" s="5">
        <f>INDEX('Raw Data'!$A$2:$A$307,MATCH(1,INDEX(('Raw Data'!$B$2:$B$307=A33)*('Raw Data'!$E$2:$E$307=F33),0),0))</f>
        <v/>
      </c>
      <c r="H33" s="7">
        <f>F33-D33</f>
        <v/>
      </c>
      <c r="I33" s="5">
        <f>COUNTIF('Raw Data'!$B$2:$B$307,A33)</f>
        <v/>
      </c>
    </row>
    <row r="34">
      <c r="A34" s="5" t="n">
        <v>42659</v>
      </c>
      <c r="B34" s="6">
        <f>INDEX('Raw Data'!$D$2:$D$307,MATCH(A34,'Raw Data'!$B$2:$B$307,0))</f>
        <v/>
      </c>
      <c r="C34" s="5">
        <f>INDEX('Raw Data'!$C$2:$C$307,MATCH(A34,'Raw Data'!$B$2:$B$307,0))</f>
        <v/>
      </c>
      <c r="D34" s="7">
        <f>_xlfn.MINIFS('Raw Data'!$E$2:$E$307,'Raw Data'!$B$2:$B$307,A34)</f>
        <v/>
      </c>
      <c r="E34" s="5">
        <f>INDEX('Raw Data'!$A$2:$A$307,MATCH(1,INDEX(('Raw Data'!$B$2:$B$307=A34)*('Raw Data'!$E$2:$E$307=D34),0),0))</f>
        <v/>
      </c>
      <c r="F34" s="7">
        <f>_xlfn.MAXIFS('Raw Data'!$E$2:$E$307,'Raw Data'!$B$2:$B$307,A34)</f>
        <v/>
      </c>
      <c r="G34" s="5">
        <f>INDEX('Raw Data'!$A$2:$A$307,MATCH(1,INDEX(('Raw Data'!$B$2:$B$307=A34)*('Raw Data'!$E$2:$E$307=F34),0),0))</f>
        <v/>
      </c>
      <c r="H34" s="7">
        <f>F34-D34</f>
        <v/>
      </c>
      <c r="I34" s="5">
        <f>COUNTIF('Raw Data'!$B$2:$B$307,A34)</f>
        <v/>
      </c>
    </row>
    <row r="35">
      <c r="A35" s="5" t="n">
        <v>42661</v>
      </c>
      <c r="B35" s="6">
        <f>INDEX('Raw Data'!$D$2:$D$307,MATCH(A35,'Raw Data'!$B$2:$B$307,0))</f>
        <v/>
      </c>
      <c r="C35" s="5">
        <f>INDEX('Raw Data'!$C$2:$C$307,MATCH(A35,'Raw Data'!$B$2:$B$307,0))</f>
        <v/>
      </c>
      <c r="D35" s="7">
        <f>_xlfn.MINIFS('Raw Data'!$E$2:$E$307,'Raw Data'!$B$2:$B$307,A35)</f>
        <v/>
      </c>
      <c r="E35" s="5">
        <f>INDEX('Raw Data'!$A$2:$A$307,MATCH(1,INDEX(('Raw Data'!$B$2:$B$307=A35)*('Raw Data'!$E$2:$E$307=D35),0),0))</f>
        <v/>
      </c>
      <c r="F35" s="7">
        <f>_xlfn.MAXIFS('Raw Data'!$E$2:$E$307,'Raw Data'!$B$2:$B$307,A35)</f>
        <v/>
      </c>
      <c r="G35" s="5">
        <f>INDEX('Raw Data'!$A$2:$A$307,MATCH(1,INDEX(('Raw Data'!$B$2:$B$307=A35)*('Raw Data'!$E$2:$E$307=F35),0),0))</f>
        <v/>
      </c>
      <c r="H35" s="7">
        <f>F35-D35</f>
        <v/>
      </c>
      <c r="I35" s="5">
        <f>COUNTIF('Raw Data'!$B$2:$B$307,A35)</f>
        <v/>
      </c>
    </row>
    <row r="36">
      <c r="A36" s="5" t="n">
        <v>42663</v>
      </c>
      <c r="B36" s="6">
        <f>INDEX('Raw Data'!$D$2:$D$307,MATCH(A36,'Raw Data'!$B$2:$B$307,0))</f>
        <v/>
      </c>
      <c r="C36" s="5">
        <f>INDEX('Raw Data'!$C$2:$C$307,MATCH(A36,'Raw Data'!$B$2:$B$307,0))</f>
        <v/>
      </c>
      <c r="D36" s="7">
        <f>_xlfn.MINIFS('Raw Data'!$E$2:$E$307,'Raw Data'!$B$2:$B$307,A36)</f>
        <v/>
      </c>
      <c r="E36" s="5">
        <f>INDEX('Raw Data'!$A$2:$A$307,MATCH(1,INDEX(('Raw Data'!$B$2:$B$307=A36)*('Raw Data'!$E$2:$E$307=D36),0),0))</f>
        <v/>
      </c>
      <c r="F36" s="7">
        <f>_xlfn.MAXIFS('Raw Data'!$E$2:$E$307,'Raw Data'!$B$2:$B$307,A36)</f>
        <v/>
      </c>
      <c r="G36" s="5">
        <f>INDEX('Raw Data'!$A$2:$A$307,MATCH(1,INDEX(('Raw Data'!$B$2:$B$307=A36)*('Raw Data'!$E$2:$E$307=F36),0),0))</f>
        <v/>
      </c>
      <c r="H36" s="7">
        <f>F36-D36</f>
        <v/>
      </c>
      <c r="I36" s="5">
        <f>COUNTIF('Raw Data'!$B$2:$B$307,A36)</f>
        <v/>
      </c>
    </row>
    <row r="37">
      <c r="A37" s="5" t="n">
        <v>42664</v>
      </c>
      <c r="B37" s="6">
        <f>INDEX('Raw Data'!$D$2:$D$307,MATCH(A37,'Raw Data'!$B$2:$B$307,0))</f>
        <v/>
      </c>
      <c r="C37" s="5">
        <f>INDEX('Raw Data'!$C$2:$C$307,MATCH(A37,'Raw Data'!$B$2:$B$307,0))</f>
        <v/>
      </c>
      <c r="D37" s="7">
        <f>_xlfn.MINIFS('Raw Data'!$E$2:$E$307,'Raw Data'!$B$2:$B$307,A37)</f>
        <v/>
      </c>
      <c r="E37" s="5">
        <f>INDEX('Raw Data'!$A$2:$A$307,MATCH(1,INDEX(('Raw Data'!$B$2:$B$307=A37)*('Raw Data'!$E$2:$E$307=D37),0),0))</f>
        <v/>
      </c>
      <c r="F37" s="7">
        <f>_xlfn.MAXIFS('Raw Data'!$E$2:$E$307,'Raw Data'!$B$2:$B$307,A37)</f>
        <v/>
      </c>
      <c r="G37" s="5">
        <f>INDEX('Raw Data'!$A$2:$A$307,MATCH(1,INDEX(('Raw Data'!$B$2:$B$307=A37)*('Raw Data'!$E$2:$E$307=F37),0),0))</f>
        <v/>
      </c>
      <c r="H37" s="7">
        <f>F37-D37</f>
        <v/>
      </c>
      <c r="I37" s="5">
        <f>COUNTIF('Raw Data'!$B$2:$B$307,A37)</f>
        <v/>
      </c>
    </row>
    <row r="38">
      <c r="A38" s="5" t="n">
        <v>42665</v>
      </c>
      <c r="B38" s="6">
        <f>INDEX('Raw Data'!$D$2:$D$307,MATCH(A38,'Raw Data'!$B$2:$B$307,0))</f>
        <v/>
      </c>
      <c r="C38" s="5">
        <f>INDEX('Raw Data'!$C$2:$C$307,MATCH(A38,'Raw Data'!$B$2:$B$307,0))</f>
        <v/>
      </c>
      <c r="D38" s="7">
        <f>_xlfn.MINIFS('Raw Data'!$E$2:$E$307,'Raw Data'!$B$2:$B$307,A38)</f>
        <v/>
      </c>
      <c r="E38" s="5">
        <f>INDEX('Raw Data'!$A$2:$A$307,MATCH(1,INDEX(('Raw Data'!$B$2:$B$307=A38)*('Raw Data'!$E$2:$E$307=D38),0),0))</f>
        <v/>
      </c>
      <c r="F38" s="7">
        <f>_xlfn.MAXIFS('Raw Data'!$E$2:$E$307,'Raw Data'!$B$2:$B$307,A38)</f>
        <v/>
      </c>
      <c r="G38" s="5">
        <f>INDEX('Raw Data'!$A$2:$A$307,MATCH(1,INDEX(('Raw Data'!$B$2:$B$307=A38)*('Raw Data'!$E$2:$E$307=F38),0),0))</f>
        <v/>
      </c>
      <c r="H38" s="7">
        <f>F38-D38</f>
        <v/>
      </c>
      <c r="I38" s="5">
        <f>COUNTIF('Raw Data'!$B$2:$B$307,A38)</f>
        <v/>
      </c>
    </row>
    <row r="39">
      <c r="A39" s="5" t="n">
        <v>42666</v>
      </c>
      <c r="B39" s="6">
        <f>INDEX('Raw Data'!$D$2:$D$307,MATCH(A39,'Raw Data'!$B$2:$B$307,0))</f>
        <v/>
      </c>
      <c r="C39" s="5">
        <f>INDEX('Raw Data'!$C$2:$C$307,MATCH(A39,'Raw Data'!$B$2:$B$307,0))</f>
        <v/>
      </c>
      <c r="D39" s="7">
        <f>_xlfn.MINIFS('Raw Data'!$E$2:$E$307,'Raw Data'!$B$2:$B$307,A39)</f>
        <v/>
      </c>
      <c r="E39" s="5">
        <f>INDEX('Raw Data'!$A$2:$A$307,MATCH(1,INDEX(('Raw Data'!$B$2:$B$307=A39)*('Raw Data'!$E$2:$E$307=D39),0),0))</f>
        <v/>
      </c>
      <c r="F39" s="7">
        <f>_xlfn.MAXIFS('Raw Data'!$E$2:$E$307,'Raw Data'!$B$2:$B$307,A39)</f>
        <v/>
      </c>
      <c r="G39" s="5">
        <f>INDEX('Raw Data'!$A$2:$A$307,MATCH(1,INDEX(('Raw Data'!$B$2:$B$307=A39)*('Raw Data'!$E$2:$E$307=F39),0),0))</f>
        <v/>
      </c>
      <c r="H39" s="7">
        <f>F39-D39</f>
        <v/>
      </c>
      <c r="I39" s="5">
        <f>COUNTIF('Raw Data'!$B$2:$B$307,A39)</f>
        <v/>
      </c>
    </row>
    <row r="40">
      <c r="A40" s="5" t="n">
        <v>42671</v>
      </c>
      <c r="B40" s="6">
        <f>INDEX('Raw Data'!$D$2:$D$307,MATCH(A40,'Raw Data'!$B$2:$B$307,0))</f>
        <v/>
      </c>
      <c r="C40" s="5">
        <f>INDEX('Raw Data'!$C$2:$C$307,MATCH(A40,'Raw Data'!$B$2:$B$307,0))</f>
        <v/>
      </c>
      <c r="D40" s="7">
        <f>_xlfn.MINIFS('Raw Data'!$E$2:$E$307,'Raw Data'!$B$2:$B$307,A40)</f>
        <v/>
      </c>
      <c r="E40" s="5">
        <f>INDEX('Raw Data'!$A$2:$A$307,MATCH(1,INDEX(('Raw Data'!$B$2:$B$307=A40)*('Raw Data'!$E$2:$E$307=D40),0),0))</f>
        <v/>
      </c>
      <c r="F40" s="7">
        <f>_xlfn.MAXIFS('Raw Data'!$E$2:$E$307,'Raw Data'!$B$2:$B$307,A40)</f>
        <v/>
      </c>
      <c r="G40" s="5">
        <f>INDEX('Raw Data'!$A$2:$A$307,MATCH(1,INDEX(('Raw Data'!$B$2:$B$307=A40)*('Raw Data'!$E$2:$E$307=F40),0),0))</f>
        <v/>
      </c>
      <c r="H40" s="7">
        <f>F40-D40</f>
        <v/>
      </c>
      <c r="I40" s="5">
        <f>COUNTIF('Raw Data'!$B$2:$B$307,A40)</f>
        <v/>
      </c>
    </row>
    <row r="41">
      <c r="A41" s="5" t="n">
        <v>42672</v>
      </c>
      <c r="B41" s="6">
        <f>INDEX('Raw Data'!$D$2:$D$307,MATCH(A41,'Raw Data'!$B$2:$B$307,0))</f>
        <v/>
      </c>
      <c r="C41" s="5">
        <f>INDEX('Raw Data'!$C$2:$C$307,MATCH(A41,'Raw Data'!$B$2:$B$307,0))</f>
        <v/>
      </c>
      <c r="D41" s="7">
        <f>_xlfn.MINIFS('Raw Data'!$E$2:$E$307,'Raw Data'!$B$2:$B$307,A41)</f>
        <v/>
      </c>
      <c r="E41" s="5">
        <f>INDEX('Raw Data'!$A$2:$A$307,MATCH(1,INDEX(('Raw Data'!$B$2:$B$307=A41)*('Raw Data'!$E$2:$E$307=D41),0),0))</f>
        <v/>
      </c>
      <c r="F41" s="7">
        <f>_xlfn.MAXIFS('Raw Data'!$E$2:$E$307,'Raw Data'!$B$2:$B$307,A41)</f>
        <v/>
      </c>
      <c r="G41" s="5">
        <f>INDEX('Raw Data'!$A$2:$A$307,MATCH(1,INDEX(('Raw Data'!$B$2:$B$307=A41)*('Raw Data'!$E$2:$E$307=F41),0),0))</f>
        <v/>
      </c>
      <c r="H41" s="7">
        <f>F41-D41</f>
        <v/>
      </c>
      <c r="I41" s="5">
        <f>COUNTIF('Raw Data'!$B$2:$B$307,A41)</f>
        <v/>
      </c>
    </row>
    <row r="42">
      <c r="A42" s="5" t="n">
        <v>42673</v>
      </c>
      <c r="B42" s="6">
        <f>INDEX('Raw Data'!$D$2:$D$307,MATCH(A42,'Raw Data'!$B$2:$B$307,0))</f>
        <v/>
      </c>
      <c r="C42" s="5">
        <f>INDEX('Raw Data'!$C$2:$C$307,MATCH(A42,'Raw Data'!$B$2:$B$307,0))</f>
        <v/>
      </c>
      <c r="D42" s="7">
        <f>_xlfn.MINIFS('Raw Data'!$E$2:$E$307,'Raw Data'!$B$2:$B$307,A42)</f>
        <v/>
      </c>
      <c r="E42" s="5">
        <f>INDEX('Raw Data'!$A$2:$A$307,MATCH(1,INDEX(('Raw Data'!$B$2:$B$307=A42)*('Raw Data'!$E$2:$E$307=D42),0),0))</f>
        <v/>
      </c>
      <c r="F42" s="7">
        <f>_xlfn.MAXIFS('Raw Data'!$E$2:$E$307,'Raw Data'!$B$2:$B$307,A42)</f>
        <v/>
      </c>
      <c r="G42" s="5">
        <f>INDEX('Raw Data'!$A$2:$A$307,MATCH(1,INDEX(('Raw Data'!$B$2:$B$307=A42)*('Raw Data'!$E$2:$E$307=F42),0),0))</f>
        <v/>
      </c>
      <c r="H42" s="7">
        <f>F42-D42</f>
        <v/>
      </c>
      <c r="I42" s="5">
        <f>COUNTIF('Raw Data'!$B$2:$B$307,A42)</f>
        <v/>
      </c>
    </row>
    <row r="43">
      <c r="A43" s="5" t="n">
        <v>42674</v>
      </c>
      <c r="B43" s="6">
        <f>INDEX('Raw Data'!$D$2:$D$307,MATCH(A43,'Raw Data'!$B$2:$B$307,0))</f>
        <v/>
      </c>
      <c r="C43" s="5">
        <f>INDEX('Raw Data'!$C$2:$C$307,MATCH(A43,'Raw Data'!$B$2:$B$307,0))</f>
        <v/>
      </c>
      <c r="D43" s="7">
        <f>_xlfn.MINIFS('Raw Data'!$E$2:$E$307,'Raw Data'!$B$2:$B$307,A43)</f>
        <v/>
      </c>
      <c r="E43" s="5">
        <f>INDEX('Raw Data'!$A$2:$A$307,MATCH(1,INDEX(('Raw Data'!$B$2:$B$307=A43)*('Raw Data'!$E$2:$E$307=D43),0),0))</f>
        <v/>
      </c>
      <c r="F43" s="7">
        <f>_xlfn.MAXIFS('Raw Data'!$E$2:$E$307,'Raw Data'!$B$2:$B$307,A43)</f>
        <v/>
      </c>
      <c r="G43" s="5">
        <f>INDEX('Raw Data'!$A$2:$A$307,MATCH(1,INDEX(('Raw Data'!$B$2:$B$307=A43)*('Raw Data'!$E$2:$E$307=F43),0),0))</f>
        <v/>
      </c>
      <c r="H43" s="7">
        <f>F43-D43</f>
        <v/>
      </c>
      <c r="I43" s="5">
        <f>COUNTIF('Raw Data'!$B$2:$B$307,A43)</f>
        <v/>
      </c>
    </row>
    <row r="44">
      <c r="A44" s="5" t="n">
        <v>42675</v>
      </c>
      <c r="B44" s="6">
        <f>INDEX('Raw Data'!$D$2:$D$307,MATCH(A44,'Raw Data'!$B$2:$B$307,0))</f>
        <v/>
      </c>
      <c r="C44" s="5">
        <f>INDEX('Raw Data'!$C$2:$C$307,MATCH(A44,'Raw Data'!$B$2:$B$307,0))</f>
        <v/>
      </c>
      <c r="D44" s="7">
        <f>_xlfn.MINIFS('Raw Data'!$E$2:$E$307,'Raw Data'!$B$2:$B$307,A44)</f>
        <v/>
      </c>
      <c r="E44" s="5">
        <f>INDEX('Raw Data'!$A$2:$A$307,MATCH(1,INDEX(('Raw Data'!$B$2:$B$307=A44)*('Raw Data'!$E$2:$E$307=D44),0),0))</f>
        <v/>
      </c>
      <c r="F44" s="7">
        <f>_xlfn.MAXIFS('Raw Data'!$E$2:$E$307,'Raw Data'!$B$2:$B$307,A44)</f>
        <v/>
      </c>
      <c r="G44" s="5">
        <f>INDEX('Raw Data'!$A$2:$A$307,MATCH(1,INDEX(('Raw Data'!$B$2:$B$307=A44)*('Raw Data'!$E$2:$E$307=F44),0),0))</f>
        <v/>
      </c>
      <c r="H44" s="7">
        <f>F44-D44</f>
        <v/>
      </c>
      <c r="I44" s="5">
        <f>COUNTIF('Raw Data'!$B$2:$B$307,A44)</f>
        <v/>
      </c>
    </row>
    <row r="45">
      <c r="A45" s="5" t="n">
        <v>42676</v>
      </c>
      <c r="B45" s="6">
        <f>INDEX('Raw Data'!$D$2:$D$307,MATCH(A45,'Raw Data'!$B$2:$B$307,0))</f>
        <v/>
      </c>
      <c r="C45" s="5">
        <f>INDEX('Raw Data'!$C$2:$C$307,MATCH(A45,'Raw Data'!$B$2:$B$307,0))</f>
        <v/>
      </c>
      <c r="D45" s="7">
        <f>_xlfn.MINIFS('Raw Data'!$E$2:$E$307,'Raw Data'!$B$2:$B$307,A45)</f>
        <v/>
      </c>
      <c r="E45" s="5">
        <f>INDEX('Raw Data'!$A$2:$A$307,MATCH(1,INDEX(('Raw Data'!$B$2:$B$307=A45)*('Raw Data'!$E$2:$E$307=D45),0),0))</f>
        <v/>
      </c>
      <c r="F45" s="7">
        <f>_xlfn.MAXIFS('Raw Data'!$E$2:$E$307,'Raw Data'!$B$2:$B$307,A45)</f>
        <v/>
      </c>
      <c r="G45" s="5">
        <f>INDEX('Raw Data'!$A$2:$A$307,MATCH(1,INDEX(('Raw Data'!$B$2:$B$307=A45)*('Raw Data'!$E$2:$E$307=F45),0),0))</f>
        <v/>
      </c>
      <c r="H45" s="7">
        <f>F45-D45</f>
        <v/>
      </c>
      <c r="I45" s="5">
        <f>COUNTIF('Raw Data'!$B$2:$B$307,A45)</f>
        <v/>
      </c>
    </row>
    <row r="46">
      <c r="A46" s="5" t="n">
        <v>42677</v>
      </c>
      <c r="B46" s="6">
        <f>INDEX('Raw Data'!$D$2:$D$307,MATCH(A46,'Raw Data'!$B$2:$B$307,0))</f>
        <v/>
      </c>
      <c r="C46" s="5">
        <f>INDEX('Raw Data'!$C$2:$C$307,MATCH(A46,'Raw Data'!$B$2:$B$307,0))</f>
        <v/>
      </c>
      <c r="D46" s="7">
        <f>_xlfn.MINIFS('Raw Data'!$E$2:$E$307,'Raw Data'!$B$2:$B$307,A46)</f>
        <v/>
      </c>
      <c r="E46" s="5">
        <f>INDEX('Raw Data'!$A$2:$A$307,MATCH(1,INDEX(('Raw Data'!$B$2:$B$307=A46)*('Raw Data'!$E$2:$E$307=D46),0),0))</f>
        <v/>
      </c>
      <c r="F46" s="7">
        <f>_xlfn.MAXIFS('Raw Data'!$E$2:$E$307,'Raw Data'!$B$2:$B$307,A46)</f>
        <v/>
      </c>
      <c r="G46" s="5">
        <f>INDEX('Raw Data'!$A$2:$A$307,MATCH(1,INDEX(('Raw Data'!$B$2:$B$307=A46)*('Raw Data'!$E$2:$E$307=F46),0),0))</f>
        <v/>
      </c>
      <c r="H46" s="7">
        <f>F46-D46</f>
        <v/>
      </c>
      <c r="I46" s="5">
        <f>COUNTIF('Raw Data'!$B$2:$B$307,A46)</f>
        <v/>
      </c>
    </row>
    <row r="47">
      <c r="A47" s="5" t="n">
        <v>42678</v>
      </c>
      <c r="B47" s="6">
        <f>INDEX('Raw Data'!$D$2:$D$307,MATCH(A47,'Raw Data'!$B$2:$B$307,0))</f>
        <v/>
      </c>
      <c r="C47" s="5">
        <f>INDEX('Raw Data'!$C$2:$C$307,MATCH(A47,'Raw Data'!$B$2:$B$307,0))</f>
        <v/>
      </c>
      <c r="D47" s="7">
        <f>_xlfn.MINIFS('Raw Data'!$E$2:$E$307,'Raw Data'!$B$2:$B$307,A47)</f>
        <v/>
      </c>
      <c r="E47" s="5">
        <f>INDEX('Raw Data'!$A$2:$A$307,MATCH(1,INDEX(('Raw Data'!$B$2:$B$307=A47)*('Raw Data'!$E$2:$E$307=D47),0),0))</f>
        <v/>
      </c>
      <c r="F47" s="7">
        <f>_xlfn.MAXIFS('Raw Data'!$E$2:$E$307,'Raw Data'!$B$2:$B$307,A47)</f>
        <v/>
      </c>
      <c r="G47" s="5">
        <f>INDEX('Raw Data'!$A$2:$A$307,MATCH(1,INDEX(('Raw Data'!$B$2:$B$307=A47)*('Raw Data'!$E$2:$E$307=F47),0),0))</f>
        <v/>
      </c>
      <c r="H47" s="7">
        <f>F47-D47</f>
        <v/>
      </c>
      <c r="I47" s="5">
        <f>COUNTIF('Raw Data'!$B$2:$B$307,A47)</f>
        <v/>
      </c>
    </row>
    <row r="48">
      <c r="A48" s="5" t="n">
        <v>42679</v>
      </c>
      <c r="B48" s="6">
        <f>INDEX('Raw Data'!$D$2:$D$307,MATCH(A48,'Raw Data'!$B$2:$B$307,0))</f>
        <v/>
      </c>
      <c r="C48" s="5">
        <f>INDEX('Raw Data'!$C$2:$C$307,MATCH(A48,'Raw Data'!$B$2:$B$307,0))</f>
        <v/>
      </c>
      <c r="D48" s="7">
        <f>_xlfn.MINIFS('Raw Data'!$E$2:$E$307,'Raw Data'!$B$2:$B$307,A48)</f>
        <v/>
      </c>
      <c r="E48" s="5">
        <f>INDEX('Raw Data'!$A$2:$A$307,MATCH(1,INDEX(('Raw Data'!$B$2:$B$307=A48)*('Raw Data'!$E$2:$E$307=D48),0),0))</f>
        <v/>
      </c>
      <c r="F48" s="7">
        <f>_xlfn.MAXIFS('Raw Data'!$E$2:$E$307,'Raw Data'!$B$2:$B$307,A48)</f>
        <v/>
      </c>
      <c r="G48" s="5">
        <f>INDEX('Raw Data'!$A$2:$A$307,MATCH(1,INDEX(('Raw Data'!$B$2:$B$307=A48)*('Raw Data'!$E$2:$E$307=F48),0),0))</f>
        <v/>
      </c>
      <c r="H48" s="7">
        <f>F48-D48</f>
        <v/>
      </c>
      <c r="I48" s="5">
        <f>COUNTIF('Raw Data'!$B$2:$B$307,A48)</f>
        <v/>
      </c>
    </row>
    <row r="49">
      <c r="A49" s="5" t="n">
        <v>42680</v>
      </c>
      <c r="B49" s="6">
        <f>INDEX('Raw Data'!$D$2:$D$307,MATCH(A49,'Raw Data'!$B$2:$B$307,0))</f>
        <v/>
      </c>
      <c r="C49" s="5">
        <f>INDEX('Raw Data'!$C$2:$C$307,MATCH(A49,'Raw Data'!$B$2:$B$307,0))</f>
        <v/>
      </c>
      <c r="D49" s="7">
        <f>_xlfn.MINIFS('Raw Data'!$E$2:$E$307,'Raw Data'!$B$2:$B$307,A49)</f>
        <v/>
      </c>
      <c r="E49" s="5">
        <f>INDEX('Raw Data'!$A$2:$A$307,MATCH(1,INDEX(('Raw Data'!$B$2:$B$307=A49)*('Raw Data'!$E$2:$E$307=D49),0),0))</f>
        <v/>
      </c>
      <c r="F49" s="7">
        <f>_xlfn.MAXIFS('Raw Data'!$E$2:$E$307,'Raw Data'!$B$2:$B$307,A49)</f>
        <v/>
      </c>
      <c r="G49" s="5">
        <f>INDEX('Raw Data'!$A$2:$A$307,MATCH(1,INDEX(('Raw Data'!$B$2:$B$307=A49)*('Raw Data'!$E$2:$E$307=F49),0),0))</f>
        <v/>
      </c>
      <c r="H49" s="7">
        <f>F49-D49</f>
        <v/>
      </c>
      <c r="I49" s="5">
        <f>COUNTIF('Raw Data'!$B$2:$B$307,A49)</f>
        <v/>
      </c>
    </row>
    <row r="50">
      <c r="A50" s="5" t="n">
        <v>42681</v>
      </c>
      <c r="B50" s="6">
        <f>INDEX('Raw Data'!$D$2:$D$307,MATCH(A50,'Raw Data'!$B$2:$B$307,0))</f>
        <v/>
      </c>
      <c r="C50" s="5">
        <f>INDEX('Raw Data'!$C$2:$C$307,MATCH(A50,'Raw Data'!$B$2:$B$307,0))</f>
        <v/>
      </c>
      <c r="D50" s="7">
        <f>_xlfn.MINIFS('Raw Data'!$E$2:$E$307,'Raw Data'!$B$2:$B$307,A50)</f>
        <v/>
      </c>
      <c r="E50" s="5">
        <f>INDEX('Raw Data'!$A$2:$A$307,MATCH(1,INDEX(('Raw Data'!$B$2:$B$307=A50)*('Raw Data'!$E$2:$E$307=D50),0),0))</f>
        <v/>
      </c>
      <c r="F50" s="7">
        <f>_xlfn.MAXIFS('Raw Data'!$E$2:$E$307,'Raw Data'!$B$2:$B$307,A50)</f>
        <v/>
      </c>
      <c r="G50" s="5">
        <f>INDEX('Raw Data'!$A$2:$A$307,MATCH(1,INDEX(('Raw Data'!$B$2:$B$307=A50)*('Raw Data'!$E$2:$E$307=F50),0),0))</f>
        <v/>
      </c>
      <c r="H50" s="7">
        <f>F50-D50</f>
        <v/>
      </c>
      <c r="I50" s="5">
        <f>COUNTIF('Raw Data'!$B$2:$B$307,A50)</f>
        <v/>
      </c>
    </row>
    <row r="51">
      <c r="A51" s="5" t="n">
        <v>42682</v>
      </c>
      <c r="B51" s="6">
        <f>INDEX('Raw Data'!$D$2:$D$307,MATCH(A51,'Raw Data'!$B$2:$B$307,0))</f>
        <v/>
      </c>
      <c r="C51" s="5">
        <f>INDEX('Raw Data'!$C$2:$C$307,MATCH(A51,'Raw Data'!$B$2:$B$307,0))</f>
        <v/>
      </c>
      <c r="D51" s="7">
        <f>_xlfn.MINIFS('Raw Data'!$E$2:$E$307,'Raw Data'!$B$2:$B$307,A51)</f>
        <v/>
      </c>
      <c r="E51" s="5">
        <f>INDEX('Raw Data'!$A$2:$A$307,MATCH(1,INDEX(('Raw Data'!$B$2:$B$307=A51)*('Raw Data'!$E$2:$E$307=D51),0),0))</f>
        <v/>
      </c>
      <c r="F51" s="7">
        <f>_xlfn.MAXIFS('Raw Data'!$E$2:$E$307,'Raw Data'!$B$2:$B$307,A51)</f>
        <v/>
      </c>
      <c r="G51" s="5">
        <f>INDEX('Raw Data'!$A$2:$A$307,MATCH(1,INDEX(('Raw Data'!$B$2:$B$307=A51)*('Raw Data'!$E$2:$E$307=F51),0),0))</f>
        <v/>
      </c>
      <c r="H51" s="7">
        <f>F51-D51</f>
        <v/>
      </c>
      <c r="I51" s="5">
        <f>COUNTIF('Raw Data'!$B$2:$B$307,A51)</f>
        <v/>
      </c>
    </row>
    <row r="52">
      <c r="A52" s="5" t="n">
        <v>42684</v>
      </c>
      <c r="B52" s="6">
        <f>INDEX('Raw Data'!$D$2:$D$307,MATCH(A52,'Raw Data'!$B$2:$B$307,0))</f>
        <v/>
      </c>
      <c r="C52" s="5">
        <f>INDEX('Raw Data'!$C$2:$C$307,MATCH(A52,'Raw Data'!$B$2:$B$307,0))</f>
        <v/>
      </c>
      <c r="D52" s="7">
        <f>_xlfn.MINIFS('Raw Data'!$E$2:$E$307,'Raw Data'!$B$2:$B$307,A52)</f>
        <v/>
      </c>
      <c r="E52" s="5">
        <f>INDEX('Raw Data'!$A$2:$A$307,MATCH(1,INDEX(('Raw Data'!$B$2:$B$307=A52)*('Raw Data'!$E$2:$E$307=D52),0),0))</f>
        <v/>
      </c>
      <c r="F52" s="7">
        <f>_xlfn.MAXIFS('Raw Data'!$E$2:$E$307,'Raw Data'!$B$2:$B$307,A52)</f>
        <v/>
      </c>
      <c r="G52" s="5">
        <f>INDEX('Raw Data'!$A$2:$A$307,MATCH(1,INDEX(('Raw Data'!$B$2:$B$307=A52)*('Raw Data'!$E$2:$E$307=F52),0),0))</f>
        <v/>
      </c>
      <c r="H52" s="7">
        <f>F52-D52</f>
        <v/>
      </c>
      <c r="I52" s="5">
        <f>COUNTIF('Raw Data'!$B$2:$B$307,A52)</f>
        <v/>
      </c>
    </row>
    <row r="53">
      <c r="A53" s="5" t="n">
        <v>42685</v>
      </c>
      <c r="B53" s="6">
        <f>INDEX('Raw Data'!$D$2:$D$307,MATCH(A53,'Raw Data'!$B$2:$B$307,0))</f>
        <v/>
      </c>
      <c r="C53" s="5">
        <f>INDEX('Raw Data'!$C$2:$C$307,MATCH(A53,'Raw Data'!$B$2:$B$307,0))</f>
        <v/>
      </c>
      <c r="D53" s="7">
        <f>_xlfn.MINIFS('Raw Data'!$E$2:$E$307,'Raw Data'!$B$2:$B$307,A53)</f>
        <v/>
      </c>
      <c r="E53" s="5">
        <f>INDEX('Raw Data'!$A$2:$A$307,MATCH(1,INDEX(('Raw Data'!$B$2:$B$307=A53)*('Raw Data'!$E$2:$E$307=D53),0),0))</f>
        <v/>
      </c>
      <c r="F53" s="7">
        <f>_xlfn.MAXIFS('Raw Data'!$E$2:$E$307,'Raw Data'!$B$2:$B$307,A53)</f>
        <v/>
      </c>
      <c r="G53" s="5">
        <f>INDEX('Raw Data'!$A$2:$A$307,MATCH(1,INDEX(('Raw Data'!$B$2:$B$307=A53)*('Raw Data'!$E$2:$E$307=F53),0),0))</f>
        <v/>
      </c>
      <c r="H53" s="7">
        <f>F53-D53</f>
        <v/>
      </c>
      <c r="I53" s="5">
        <f>COUNTIF('Raw Data'!$B$2:$B$307,A53)</f>
        <v/>
      </c>
    </row>
    <row r="54">
      <c r="A54" s="5" t="n">
        <v>42686</v>
      </c>
      <c r="B54" s="6">
        <f>INDEX('Raw Data'!$D$2:$D$307,MATCH(A54,'Raw Data'!$B$2:$B$307,0))</f>
        <v/>
      </c>
      <c r="C54" s="5">
        <f>INDEX('Raw Data'!$C$2:$C$307,MATCH(A54,'Raw Data'!$B$2:$B$307,0))</f>
        <v/>
      </c>
      <c r="D54" s="7">
        <f>_xlfn.MINIFS('Raw Data'!$E$2:$E$307,'Raw Data'!$B$2:$B$307,A54)</f>
        <v/>
      </c>
      <c r="E54" s="5">
        <f>INDEX('Raw Data'!$A$2:$A$307,MATCH(1,INDEX(('Raw Data'!$B$2:$B$307=A54)*('Raw Data'!$E$2:$E$307=D54),0),0))</f>
        <v/>
      </c>
      <c r="F54" s="7">
        <f>_xlfn.MAXIFS('Raw Data'!$E$2:$E$307,'Raw Data'!$B$2:$B$307,A54)</f>
        <v/>
      </c>
      <c r="G54" s="5">
        <f>INDEX('Raw Data'!$A$2:$A$307,MATCH(1,INDEX(('Raw Data'!$B$2:$B$307=A54)*('Raw Data'!$E$2:$E$307=F54),0),0))</f>
        <v/>
      </c>
      <c r="H54" s="7">
        <f>F54-D54</f>
        <v/>
      </c>
      <c r="I54" s="5">
        <f>COUNTIF('Raw Data'!$B$2:$B$307,A54)</f>
        <v/>
      </c>
    </row>
    <row r="55">
      <c r="A55" s="5" t="n">
        <v>42687</v>
      </c>
      <c r="B55" s="6">
        <f>INDEX('Raw Data'!$D$2:$D$307,MATCH(A55,'Raw Data'!$B$2:$B$307,0))</f>
        <v/>
      </c>
      <c r="C55" s="5">
        <f>INDEX('Raw Data'!$C$2:$C$307,MATCH(A55,'Raw Data'!$B$2:$B$307,0))</f>
        <v/>
      </c>
      <c r="D55" s="7">
        <f>_xlfn.MINIFS('Raw Data'!$E$2:$E$307,'Raw Data'!$B$2:$B$307,A55)</f>
        <v/>
      </c>
      <c r="E55" s="5">
        <f>INDEX('Raw Data'!$A$2:$A$307,MATCH(1,INDEX(('Raw Data'!$B$2:$B$307=A55)*('Raw Data'!$E$2:$E$307=D55),0),0))</f>
        <v/>
      </c>
      <c r="F55" s="7">
        <f>_xlfn.MAXIFS('Raw Data'!$E$2:$E$307,'Raw Data'!$B$2:$B$307,A55)</f>
        <v/>
      </c>
      <c r="G55" s="5">
        <f>INDEX('Raw Data'!$A$2:$A$307,MATCH(1,INDEX(('Raw Data'!$B$2:$B$307=A55)*('Raw Data'!$E$2:$E$307=F55),0),0))</f>
        <v/>
      </c>
      <c r="H55" s="7">
        <f>F55-D55</f>
        <v/>
      </c>
      <c r="I55" s="5">
        <f>COUNTIF('Raw Data'!$B$2:$B$307,A55)</f>
        <v/>
      </c>
    </row>
    <row r="56">
      <c r="A56" s="5" t="n">
        <v>42688</v>
      </c>
      <c r="B56" s="6">
        <f>INDEX('Raw Data'!$D$2:$D$307,MATCH(A56,'Raw Data'!$B$2:$B$307,0))</f>
        <v/>
      </c>
      <c r="C56" s="5">
        <f>INDEX('Raw Data'!$C$2:$C$307,MATCH(A56,'Raw Data'!$B$2:$B$307,0))</f>
        <v/>
      </c>
      <c r="D56" s="7">
        <f>_xlfn.MINIFS('Raw Data'!$E$2:$E$307,'Raw Data'!$B$2:$B$307,A56)</f>
        <v/>
      </c>
      <c r="E56" s="5">
        <f>INDEX('Raw Data'!$A$2:$A$307,MATCH(1,INDEX(('Raw Data'!$B$2:$B$307=A56)*('Raw Data'!$E$2:$E$307=D56),0),0))</f>
        <v/>
      </c>
      <c r="F56" s="7">
        <f>_xlfn.MAXIFS('Raw Data'!$E$2:$E$307,'Raw Data'!$B$2:$B$307,A56)</f>
        <v/>
      </c>
      <c r="G56" s="5">
        <f>INDEX('Raw Data'!$A$2:$A$307,MATCH(1,INDEX(('Raw Data'!$B$2:$B$307=A56)*('Raw Data'!$E$2:$E$307=F56),0),0))</f>
        <v/>
      </c>
      <c r="H56" s="7">
        <f>F56-D56</f>
        <v/>
      </c>
      <c r="I56" s="5">
        <f>COUNTIF('Raw Data'!$B$2:$B$307,A56)</f>
        <v/>
      </c>
    </row>
    <row r="57">
      <c r="A57" s="5" t="n">
        <v>42689</v>
      </c>
      <c r="B57" s="6">
        <f>INDEX('Raw Data'!$D$2:$D$307,MATCH(A57,'Raw Data'!$B$2:$B$307,0))</f>
        <v/>
      </c>
      <c r="C57" s="5">
        <f>INDEX('Raw Data'!$C$2:$C$307,MATCH(A57,'Raw Data'!$B$2:$B$307,0))</f>
        <v/>
      </c>
      <c r="D57" s="7">
        <f>_xlfn.MINIFS('Raw Data'!$E$2:$E$307,'Raw Data'!$B$2:$B$307,A57)</f>
        <v/>
      </c>
      <c r="E57" s="5">
        <f>INDEX('Raw Data'!$A$2:$A$307,MATCH(1,INDEX(('Raw Data'!$B$2:$B$307=A57)*('Raw Data'!$E$2:$E$307=D57),0),0))</f>
        <v/>
      </c>
      <c r="F57" s="7">
        <f>_xlfn.MAXIFS('Raw Data'!$E$2:$E$307,'Raw Data'!$B$2:$B$307,A57)</f>
        <v/>
      </c>
      <c r="G57" s="5">
        <f>INDEX('Raw Data'!$A$2:$A$307,MATCH(1,INDEX(('Raw Data'!$B$2:$B$307=A57)*('Raw Data'!$E$2:$E$307=F57),0),0))</f>
        <v/>
      </c>
      <c r="H57" s="7">
        <f>F57-D57</f>
        <v/>
      </c>
      <c r="I57" s="5">
        <f>COUNTIF('Raw Data'!$B$2:$B$307,A57)</f>
        <v/>
      </c>
    </row>
    <row r="58">
      <c r="A58" s="5" t="n">
        <v>42690</v>
      </c>
      <c r="B58" s="6">
        <f>INDEX('Raw Data'!$D$2:$D$307,MATCH(A58,'Raw Data'!$B$2:$B$307,0))</f>
        <v/>
      </c>
      <c r="C58" s="5">
        <f>INDEX('Raw Data'!$C$2:$C$307,MATCH(A58,'Raw Data'!$B$2:$B$307,0))</f>
        <v/>
      </c>
      <c r="D58" s="7">
        <f>_xlfn.MINIFS('Raw Data'!$E$2:$E$307,'Raw Data'!$B$2:$B$307,A58)</f>
        <v/>
      </c>
      <c r="E58" s="5">
        <f>INDEX('Raw Data'!$A$2:$A$307,MATCH(1,INDEX(('Raw Data'!$B$2:$B$307=A58)*('Raw Data'!$E$2:$E$307=D58),0),0))</f>
        <v/>
      </c>
      <c r="F58" s="7">
        <f>_xlfn.MAXIFS('Raw Data'!$E$2:$E$307,'Raw Data'!$B$2:$B$307,A58)</f>
        <v/>
      </c>
      <c r="G58" s="5">
        <f>INDEX('Raw Data'!$A$2:$A$307,MATCH(1,INDEX(('Raw Data'!$B$2:$B$307=A58)*('Raw Data'!$E$2:$E$307=F58),0),0))</f>
        <v/>
      </c>
      <c r="H58" s="7">
        <f>F58-D58</f>
        <v/>
      </c>
      <c r="I58" s="5">
        <f>COUNTIF('Raw Data'!$B$2:$B$307,A58)</f>
        <v/>
      </c>
    </row>
    <row r="59">
      <c r="A59" s="5" t="n">
        <v>42691</v>
      </c>
      <c r="B59" s="6">
        <f>INDEX('Raw Data'!$D$2:$D$307,MATCH(A59,'Raw Data'!$B$2:$B$307,0))</f>
        <v/>
      </c>
      <c r="C59" s="5">
        <f>INDEX('Raw Data'!$C$2:$C$307,MATCH(A59,'Raw Data'!$B$2:$B$307,0))</f>
        <v/>
      </c>
      <c r="D59" s="7">
        <f>_xlfn.MINIFS('Raw Data'!$E$2:$E$307,'Raw Data'!$B$2:$B$307,A59)</f>
        <v/>
      </c>
      <c r="E59" s="5">
        <f>INDEX('Raw Data'!$A$2:$A$307,MATCH(1,INDEX(('Raw Data'!$B$2:$B$307=A59)*('Raw Data'!$E$2:$E$307=D59),0),0))</f>
        <v/>
      </c>
      <c r="F59" s="7">
        <f>_xlfn.MAXIFS('Raw Data'!$E$2:$E$307,'Raw Data'!$B$2:$B$307,A59)</f>
        <v/>
      </c>
      <c r="G59" s="5">
        <f>INDEX('Raw Data'!$A$2:$A$307,MATCH(1,INDEX(('Raw Data'!$B$2:$B$307=A59)*('Raw Data'!$E$2:$E$307=F59),0),0))</f>
        <v/>
      </c>
      <c r="H59" s="7">
        <f>F59-D59</f>
        <v/>
      </c>
      <c r="I59" s="5">
        <f>COUNTIF('Raw Data'!$B$2:$B$307,A59)</f>
        <v/>
      </c>
    </row>
    <row r="60">
      <c r="A60" s="5" t="n">
        <v>42692</v>
      </c>
      <c r="B60" s="6">
        <f>INDEX('Raw Data'!$D$2:$D$307,MATCH(A60,'Raw Data'!$B$2:$B$307,0))</f>
        <v/>
      </c>
      <c r="C60" s="5">
        <f>INDEX('Raw Data'!$C$2:$C$307,MATCH(A60,'Raw Data'!$B$2:$B$307,0))</f>
        <v/>
      </c>
      <c r="D60" s="7">
        <f>_xlfn.MINIFS('Raw Data'!$E$2:$E$307,'Raw Data'!$B$2:$B$307,A60)</f>
        <v/>
      </c>
      <c r="E60" s="5">
        <f>INDEX('Raw Data'!$A$2:$A$307,MATCH(1,INDEX(('Raw Data'!$B$2:$B$307=A60)*('Raw Data'!$E$2:$E$307=D60),0),0))</f>
        <v/>
      </c>
      <c r="F60" s="7">
        <f>_xlfn.MAXIFS('Raw Data'!$E$2:$E$307,'Raw Data'!$B$2:$B$307,A60)</f>
        <v/>
      </c>
      <c r="G60" s="5">
        <f>INDEX('Raw Data'!$A$2:$A$307,MATCH(1,INDEX(('Raw Data'!$B$2:$B$307=A60)*('Raw Data'!$E$2:$E$307=F60),0),0))</f>
        <v/>
      </c>
      <c r="H60" s="7">
        <f>F60-D60</f>
        <v/>
      </c>
      <c r="I60" s="5">
        <f>COUNTIF('Raw Data'!$B$2:$B$307,A60)</f>
        <v/>
      </c>
    </row>
    <row r="61">
      <c r="A61" s="5" t="n">
        <v>42693</v>
      </c>
      <c r="B61" s="6">
        <f>INDEX('Raw Data'!$D$2:$D$307,MATCH(A61,'Raw Data'!$B$2:$B$307,0))</f>
        <v/>
      </c>
      <c r="C61" s="5">
        <f>INDEX('Raw Data'!$C$2:$C$307,MATCH(A61,'Raw Data'!$B$2:$B$307,0))</f>
        <v/>
      </c>
      <c r="D61" s="7">
        <f>_xlfn.MINIFS('Raw Data'!$E$2:$E$307,'Raw Data'!$B$2:$B$307,A61)</f>
        <v/>
      </c>
      <c r="E61" s="5">
        <f>INDEX('Raw Data'!$A$2:$A$307,MATCH(1,INDEX(('Raw Data'!$B$2:$B$307=A61)*('Raw Data'!$E$2:$E$307=D61),0),0))</f>
        <v/>
      </c>
      <c r="F61" s="7">
        <f>_xlfn.MAXIFS('Raw Data'!$E$2:$E$307,'Raw Data'!$B$2:$B$307,A61)</f>
        <v/>
      </c>
      <c r="G61" s="5">
        <f>INDEX('Raw Data'!$A$2:$A$307,MATCH(1,INDEX(('Raw Data'!$B$2:$B$307=A61)*('Raw Data'!$E$2:$E$307=F61),0),0))</f>
        <v/>
      </c>
      <c r="H61" s="7">
        <f>F61-D61</f>
        <v/>
      </c>
      <c r="I61" s="5">
        <f>COUNTIF('Raw Data'!$B$2:$B$307,A61)</f>
        <v/>
      </c>
    </row>
    <row r="62">
      <c r="A62" s="5" t="n">
        <v>42694</v>
      </c>
      <c r="B62" s="6">
        <f>INDEX('Raw Data'!$D$2:$D$307,MATCH(A62,'Raw Data'!$B$2:$B$307,0))</f>
        <v/>
      </c>
      <c r="C62" s="5">
        <f>INDEX('Raw Data'!$C$2:$C$307,MATCH(A62,'Raw Data'!$B$2:$B$307,0))</f>
        <v/>
      </c>
      <c r="D62" s="7">
        <f>_xlfn.MINIFS('Raw Data'!$E$2:$E$307,'Raw Data'!$B$2:$B$307,A62)</f>
        <v/>
      </c>
      <c r="E62" s="5">
        <f>INDEX('Raw Data'!$A$2:$A$307,MATCH(1,INDEX(('Raw Data'!$B$2:$B$307=A62)*('Raw Data'!$E$2:$E$307=D62),0),0))</f>
        <v/>
      </c>
      <c r="F62" s="7">
        <f>_xlfn.MAXIFS('Raw Data'!$E$2:$E$307,'Raw Data'!$B$2:$B$307,A62)</f>
        <v/>
      </c>
      <c r="G62" s="5">
        <f>INDEX('Raw Data'!$A$2:$A$307,MATCH(1,INDEX(('Raw Data'!$B$2:$B$307=A62)*('Raw Data'!$E$2:$E$307=F62),0),0))</f>
        <v/>
      </c>
      <c r="H62" s="7">
        <f>F62-D62</f>
        <v/>
      </c>
      <c r="I62" s="5">
        <f>COUNTIF('Raw Data'!$B$2:$B$307,A62)</f>
        <v/>
      </c>
    </row>
    <row r="63">
      <c r="A63" s="5" t="n">
        <v>42695</v>
      </c>
      <c r="B63" s="6">
        <f>INDEX('Raw Data'!$D$2:$D$307,MATCH(A63,'Raw Data'!$B$2:$B$307,0))</f>
        <v/>
      </c>
      <c r="C63" s="5">
        <f>INDEX('Raw Data'!$C$2:$C$307,MATCH(A63,'Raw Data'!$B$2:$B$307,0))</f>
        <v/>
      </c>
      <c r="D63" s="7">
        <f>_xlfn.MINIFS('Raw Data'!$E$2:$E$307,'Raw Data'!$B$2:$B$307,A63)</f>
        <v/>
      </c>
      <c r="E63" s="5">
        <f>INDEX('Raw Data'!$A$2:$A$307,MATCH(1,INDEX(('Raw Data'!$B$2:$B$307=A63)*('Raw Data'!$E$2:$E$307=D63),0),0))</f>
        <v/>
      </c>
      <c r="F63" s="7">
        <f>_xlfn.MAXIFS('Raw Data'!$E$2:$E$307,'Raw Data'!$B$2:$B$307,A63)</f>
        <v/>
      </c>
      <c r="G63" s="5">
        <f>INDEX('Raw Data'!$A$2:$A$307,MATCH(1,INDEX(('Raw Data'!$B$2:$B$307=A63)*('Raw Data'!$E$2:$E$307=F63),0),0))</f>
        <v/>
      </c>
      <c r="H63" s="7">
        <f>F63-D63</f>
        <v/>
      </c>
      <c r="I63" s="5">
        <f>COUNTIF('Raw Data'!$B$2:$B$307,A63)</f>
        <v/>
      </c>
    </row>
    <row r="64">
      <c r="A64" s="5" t="n">
        <v>42696</v>
      </c>
      <c r="B64" s="6">
        <f>INDEX('Raw Data'!$D$2:$D$307,MATCH(A64,'Raw Data'!$B$2:$B$307,0))</f>
        <v/>
      </c>
      <c r="C64" s="5">
        <f>INDEX('Raw Data'!$C$2:$C$307,MATCH(A64,'Raw Data'!$B$2:$B$307,0))</f>
        <v/>
      </c>
      <c r="D64" s="7">
        <f>_xlfn.MINIFS('Raw Data'!$E$2:$E$307,'Raw Data'!$B$2:$B$307,A64)</f>
        <v/>
      </c>
      <c r="E64" s="5">
        <f>INDEX('Raw Data'!$A$2:$A$307,MATCH(1,INDEX(('Raw Data'!$B$2:$B$307=A64)*('Raw Data'!$E$2:$E$307=D64),0),0))</f>
        <v/>
      </c>
      <c r="F64" s="7">
        <f>_xlfn.MAXIFS('Raw Data'!$E$2:$E$307,'Raw Data'!$B$2:$B$307,A64)</f>
        <v/>
      </c>
      <c r="G64" s="5">
        <f>INDEX('Raw Data'!$A$2:$A$307,MATCH(1,INDEX(('Raw Data'!$B$2:$B$307=A64)*('Raw Data'!$E$2:$E$307=F64),0),0))</f>
        <v/>
      </c>
      <c r="H64" s="7">
        <f>F64-D64</f>
        <v/>
      </c>
      <c r="I64" s="5">
        <f>COUNTIF('Raw Data'!$B$2:$B$307,A64)</f>
        <v/>
      </c>
    </row>
    <row r="65">
      <c r="A65" s="5" t="n">
        <v>42697</v>
      </c>
      <c r="B65" s="6">
        <f>INDEX('Raw Data'!$D$2:$D$307,MATCH(A65,'Raw Data'!$B$2:$B$307,0))</f>
        <v/>
      </c>
      <c r="C65" s="5">
        <f>INDEX('Raw Data'!$C$2:$C$307,MATCH(A65,'Raw Data'!$B$2:$B$307,0))</f>
        <v/>
      </c>
      <c r="D65" s="7">
        <f>_xlfn.MINIFS('Raw Data'!$E$2:$E$307,'Raw Data'!$B$2:$B$307,A65)</f>
        <v/>
      </c>
      <c r="E65" s="5">
        <f>INDEX('Raw Data'!$A$2:$A$307,MATCH(1,INDEX(('Raw Data'!$B$2:$B$307=A65)*('Raw Data'!$E$2:$E$307=D65),0),0))</f>
        <v/>
      </c>
      <c r="F65" s="7">
        <f>_xlfn.MAXIFS('Raw Data'!$E$2:$E$307,'Raw Data'!$B$2:$B$307,A65)</f>
        <v/>
      </c>
      <c r="G65" s="5">
        <f>INDEX('Raw Data'!$A$2:$A$307,MATCH(1,INDEX(('Raw Data'!$B$2:$B$307=A65)*('Raw Data'!$E$2:$E$307=F65),0),0))</f>
        <v/>
      </c>
      <c r="H65" s="7">
        <f>F65-D65</f>
        <v/>
      </c>
      <c r="I65" s="5">
        <f>COUNTIF('Raw Data'!$B$2:$B$307,A65)</f>
        <v/>
      </c>
    </row>
    <row r="66">
      <c r="A66" s="5" t="n">
        <v>42698</v>
      </c>
      <c r="B66" s="6">
        <f>INDEX('Raw Data'!$D$2:$D$307,MATCH(A66,'Raw Data'!$B$2:$B$307,0))</f>
        <v/>
      </c>
      <c r="C66" s="5">
        <f>INDEX('Raw Data'!$C$2:$C$307,MATCH(A66,'Raw Data'!$B$2:$B$307,0))</f>
        <v/>
      </c>
      <c r="D66" s="7">
        <f>_xlfn.MINIFS('Raw Data'!$E$2:$E$307,'Raw Data'!$B$2:$B$307,A66)</f>
        <v/>
      </c>
      <c r="E66" s="5">
        <f>INDEX('Raw Data'!$A$2:$A$307,MATCH(1,INDEX(('Raw Data'!$B$2:$B$307=A66)*('Raw Data'!$E$2:$E$307=D66),0),0))</f>
        <v/>
      </c>
      <c r="F66" s="7">
        <f>_xlfn.MAXIFS('Raw Data'!$E$2:$E$307,'Raw Data'!$B$2:$B$307,A66)</f>
        <v/>
      </c>
      <c r="G66" s="5">
        <f>INDEX('Raw Data'!$A$2:$A$307,MATCH(1,INDEX(('Raw Data'!$B$2:$B$307=A66)*('Raw Data'!$E$2:$E$307=F66),0),0))</f>
        <v/>
      </c>
      <c r="H66" s="7">
        <f>F66-D66</f>
        <v/>
      </c>
      <c r="I66" s="5">
        <f>COUNTIF('Raw Data'!$B$2:$B$307,A66)</f>
        <v/>
      </c>
    </row>
    <row r="67">
      <c r="A67" s="5" t="n">
        <v>42699</v>
      </c>
      <c r="B67" s="6">
        <f>INDEX('Raw Data'!$D$2:$D$307,MATCH(A67,'Raw Data'!$B$2:$B$307,0))</f>
        <v/>
      </c>
      <c r="C67" s="5">
        <f>INDEX('Raw Data'!$C$2:$C$307,MATCH(A67,'Raw Data'!$B$2:$B$307,0))</f>
        <v/>
      </c>
      <c r="D67" s="7">
        <f>_xlfn.MINIFS('Raw Data'!$E$2:$E$307,'Raw Data'!$B$2:$B$307,A67)</f>
        <v/>
      </c>
      <c r="E67" s="5">
        <f>INDEX('Raw Data'!$A$2:$A$307,MATCH(1,INDEX(('Raw Data'!$B$2:$B$307=A67)*('Raw Data'!$E$2:$E$307=D67),0),0))</f>
        <v/>
      </c>
      <c r="F67" s="7">
        <f>_xlfn.MAXIFS('Raw Data'!$E$2:$E$307,'Raw Data'!$B$2:$B$307,A67)</f>
        <v/>
      </c>
      <c r="G67" s="5">
        <f>INDEX('Raw Data'!$A$2:$A$307,MATCH(1,INDEX(('Raw Data'!$B$2:$B$307=A67)*('Raw Data'!$E$2:$E$307=F67),0),0))</f>
        <v/>
      </c>
      <c r="H67" s="7">
        <f>F67-D67</f>
        <v/>
      </c>
      <c r="I67" s="5">
        <f>COUNTIF('Raw Data'!$B$2:$B$307,A67)</f>
        <v/>
      </c>
    </row>
    <row r="68">
      <c r="A68" s="5" t="n">
        <v>42700</v>
      </c>
      <c r="B68" s="6">
        <f>INDEX('Raw Data'!$D$2:$D$307,MATCH(A68,'Raw Data'!$B$2:$B$307,0))</f>
        <v/>
      </c>
      <c r="C68" s="5">
        <f>INDEX('Raw Data'!$C$2:$C$307,MATCH(A68,'Raw Data'!$B$2:$B$307,0))</f>
        <v/>
      </c>
      <c r="D68" s="7">
        <f>_xlfn.MINIFS('Raw Data'!$E$2:$E$307,'Raw Data'!$B$2:$B$307,A68)</f>
        <v/>
      </c>
      <c r="E68" s="5">
        <f>INDEX('Raw Data'!$A$2:$A$307,MATCH(1,INDEX(('Raw Data'!$B$2:$B$307=A68)*('Raw Data'!$E$2:$E$307=D68),0),0))</f>
        <v/>
      </c>
      <c r="F68" s="7">
        <f>_xlfn.MAXIFS('Raw Data'!$E$2:$E$307,'Raw Data'!$B$2:$B$307,A68)</f>
        <v/>
      </c>
      <c r="G68" s="5">
        <f>INDEX('Raw Data'!$A$2:$A$307,MATCH(1,INDEX(('Raw Data'!$B$2:$B$307=A68)*('Raw Data'!$E$2:$E$307=F68),0),0))</f>
        <v/>
      </c>
      <c r="H68" s="7">
        <f>F68-D68</f>
        <v/>
      </c>
      <c r="I68" s="5">
        <f>COUNTIF('Raw Data'!$B$2:$B$307,A68)</f>
        <v/>
      </c>
    </row>
    <row r="69">
      <c r="A69" s="5" t="n">
        <v>42701</v>
      </c>
      <c r="B69" s="6">
        <f>INDEX('Raw Data'!$D$2:$D$307,MATCH(A69,'Raw Data'!$B$2:$B$307,0))</f>
        <v/>
      </c>
      <c r="C69" s="5">
        <f>INDEX('Raw Data'!$C$2:$C$307,MATCH(A69,'Raw Data'!$B$2:$B$307,0))</f>
        <v/>
      </c>
      <c r="D69" s="7">
        <f>_xlfn.MINIFS('Raw Data'!$E$2:$E$307,'Raw Data'!$B$2:$B$307,A69)</f>
        <v/>
      </c>
      <c r="E69" s="5">
        <f>INDEX('Raw Data'!$A$2:$A$307,MATCH(1,INDEX(('Raw Data'!$B$2:$B$307=A69)*('Raw Data'!$E$2:$E$307=D69),0),0))</f>
        <v/>
      </c>
      <c r="F69" s="7">
        <f>_xlfn.MAXIFS('Raw Data'!$E$2:$E$307,'Raw Data'!$B$2:$B$307,A69)</f>
        <v/>
      </c>
      <c r="G69" s="5">
        <f>INDEX('Raw Data'!$A$2:$A$307,MATCH(1,INDEX(('Raw Data'!$B$2:$B$307=A69)*('Raw Data'!$E$2:$E$307=F69),0),0))</f>
        <v/>
      </c>
      <c r="H69" s="7">
        <f>F69-D69</f>
        <v/>
      </c>
      <c r="I69" s="5">
        <f>COUNTIF('Raw Data'!$B$2:$B$307,A69)</f>
        <v/>
      </c>
    </row>
    <row r="70">
      <c r="A70" s="5" t="n">
        <v>42702</v>
      </c>
      <c r="B70" s="6">
        <f>INDEX('Raw Data'!$D$2:$D$307,MATCH(A70,'Raw Data'!$B$2:$B$307,0))</f>
        <v/>
      </c>
      <c r="C70" s="5">
        <f>INDEX('Raw Data'!$C$2:$C$307,MATCH(A70,'Raw Data'!$B$2:$B$307,0))</f>
        <v/>
      </c>
      <c r="D70" s="7">
        <f>_xlfn.MINIFS('Raw Data'!$E$2:$E$307,'Raw Data'!$B$2:$B$307,A70)</f>
        <v/>
      </c>
      <c r="E70" s="5">
        <f>INDEX('Raw Data'!$A$2:$A$307,MATCH(1,INDEX(('Raw Data'!$B$2:$B$307=A70)*('Raw Data'!$E$2:$E$307=D70),0),0))</f>
        <v/>
      </c>
      <c r="F70" s="7">
        <f>_xlfn.MAXIFS('Raw Data'!$E$2:$E$307,'Raw Data'!$B$2:$B$307,A70)</f>
        <v/>
      </c>
      <c r="G70" s="5">
        <f>INDEX('Raw Data'!$A$2:$A$307,MATCH(1,INDEX(('Raw Data'!$B$2:$B$307=A70)*('Raw Data'!$E$2:$E$307=F70),0),0))</f>
        <v/>
      </c>
      <c r="H70" s="7">
        <f>F70-D70</f>
        <v/>
      </c>
      <c r="I70" s="5">
        <f>COUNTIF('Raw Data'!$B$2:$B$307,A70)</f>
        <v/>
      </c>
    </row>
    <row r="71">
      <c r="A71" s="5" t="n">
        <v>42703</v>
      </c>
      <c r="B71" s="6">
        <f>INDEX('Raw Data'!$D$2:$D$307,MATCH(A71,'Raw Data'!$B$2:$B$307,0))</f>
        <v/>
      </c>
      <c r="C71" s="5">
        <f>INDEX('Raw Data'!$C$2:$C$307,MATCH(A71,'Raw Data'!$B$2:$B$307,0))</f>
        <v/>
      </c>
      <c r="D71" s="7">
        <f>_xlfn.MINIFS('Raw Data'!$E$2:$E$307,'Raw Data'!$B$2:$B$307,A71)</f>
        <v/>
      </c>
      <c r="E71" s="5">
        <f>INDEX('Raw Data'!$A$2:$A$307,MATCH(1,INDEX(('Raw Data'!$B$2:$B$307=A71)*('Raw Data'!$E$2:$E$307=D71),0),0))</f>
        <v/>
      </c>
      <c r="F71" s="7">
        <f>_xlfn.MAXIFS('Raw Data'!$E$2:$E$307,'Raw Data'!$B$2:$B$307,A71)</f>
        <v/>
      </c>
      <c r="G71" s="5">
        <f>INDEX('Raw Data'!$A$2:$A$307,MATCH(1,INDEX(('Raw Data'!$B$2:$B$307=A71)*('Raw Data'!$E$2:$E$307=F71),0),0))</f>
        <v/>
      </c>
      <c r="H71" s="7">
        <f>F71-D71</f>
        <v/>
      </c>
      <c r="I71" s="5">
        <f>COUNTIF('Raw Data'!$B$2:$B$307,A71)</f>
        <v/>
      </c>
    </row>
    <row r="72">
      <c r="A72" s="5" t="n">
        <v>42704</v>
      </c>
      <c r="B72" s="6">
        <f>INDEX('Raw Data'!$D$2:$D$307,MATCH(A72,'Raw Data'!$B$2:$B$307,0))</f>
        <v/>
      </c>
      <c r="C72" s="5">
        <f>INDEX('Raw Data'!$C$2:$C$307,MATCH(A72,'Raw Data'!$B$2:$B$307,0))</f>
        <v/>
      </c>
      <c r="D72" s="7">
        <f>_xlfn.MINIFS('Raw Data'!$E$2:$E$307,'Raw Data'!$B$2:$B$307,A72)</f>
        <v/>
      </c>
      <c r="E72" s="5">
        <f>INDEX('Raw Data'!$A$2:$A$307,MATCH(1,INDEX(('Raw Data'!$B$2:$B$307=A72)*('Raw Data'!$E$2:$E$307=D72),0),0))</f>
        <v/>
      </c>
      <c r="F72" s="7">
        <f>_xlfn.MAXIFS('Raw Data'!$E$2:$E$307,'Raw Data'!$B$2:$B$307,A72)</f>
        <v/>
      </c>
      <c r="G72" s="5">
        <f>INDEX('Raw Data'!$A$2:$A$307,MATCH(1,INDEX(('Raw Data'!$B$2:$B$307=A72)*('Raw Data'!$E$2:$E$307=F72),0),0))</f>
        <v/>
      </c>
      <c r="H72" s="7">
        <f>F72-D72</f>
        <v/>
      </c>
      <c r="I72" s="5">
        <f>COUNTIF('Raw Data'!$B$2:$B$307,A72)</f>
        <v/>
      </c>
    </row>
    <row r="73">
      <c r="A73" s="5" t="n">
        <v>42705</v>
      </c>
      <c r="B73" s="6">
        <f>INDEX('Raw Data'!$D$2:$D$307,MATCH(A73,'Raw Data'!$B$2:$B$307,0))</f>
        <v/>
      </c>
      <c r="C73" s="5">
        <f>INDEX('Raw Data'!$C$2:$C$307,MATCH(A73,'Raw Data'!$B$2:$B$307,0))</f>
        <v/>
      </c>
      <c r="D73" s="7">
        <f>_xlfn.MINIFS('Raw Data'!$E$2:$E$307,'Raw Data'!$B$2:$B$307,A73)</f>
        <v/>
      </c>
      <c r="E73" s="5">
        <f>INDEX('Raw Data'!$A$2:$A$307,MATCH(1,INDEX(('Raw Data'!$B$2:$B$307=A73)*('Raw Data'!$E$2:$E$307=D73),0),0))</f>
        <v/>
      </c>
      <c r="F73" s="7">
        <f>_xlfn.MAXIFS('Raw Data'!$E$2:$E$307,'Raw Data'!$B$2:$B$307,A73)</f>
        <v/>
      </c>
      <c r="G73" s="5">
        <f>INDEX('Raw Data'!$A$2:$A$307,MATCH(1,INDEX(('Raw Data'!$B$2:$B$307=A73)*('Raw Data'!$E$2:$E$307=F73),0),0))</f>
        <v/>
      </c>
      <c r="H73" s="7">
        <f>F73-D73</f>
        <v/>
      </c>
      <c r="I73" s="5">
        <f>COUNTIF('Raw Data'!$B$2:$B$307,A73)</f>
        <v/>
      </c>
    </row>
    <row r="74">
      <c r="A74" s="5" t="n">
        <v>43018</v>
      </c>
      <c r="B74" s="6">
        <f>INDEX('Raw Data'!$D$2:$D$307,MATCH(A74,'Raw Data'!$B$2:$B$307,0))</f>
        <v/>
      </c>
      <c r="C74" s="5">
        <f>INDEX('Raw Data'!$C$2:$C$307,MATCH(A74,'Raw Data'!$B$2:$B$307,0))</f>
        <v/>
      </c>
      <c r="D74" s="7">
        <f>_xlfn.MINIFS('Raw Data'!$E$2:$E$307,'Raw Data'!$B$2:$B$307,A74)</f>
        <v/>
      </c>
      <c r="E74" s="5">
        <f>INDEX('Raw Data'!$A$2:$A$307,MATCH(1,INDEX(('Raw Data'!$B$2:$B$307=A74)*('Raw Data'!$E$2:$E$307=D74),0),0))</f>
        <v/>
      </c>
      <c r="F74" s="7">
        <f>_xlfn.MAXIFS('Raw Data'!$E$2:$E$307,'Raw Data'!$B$2:$B$307,A74)</f>
        <v/>
      </c>
      <c r="G74" s="5">
        <f>INDEX('Raw Data'!$A$2:$A$307,MATCH(1,INDEX(('Raw Data'!$B$2:$B$307=A74)*('Raw Data'!$E$2:$E$307=F74),0),0))</f>
        <v/>
      </c>
      <c r="H74" s="7">
        <f>F74-D74</f>
        <v/>
      </c>
      <c r="I74" s="5">
        <f>COUNTIF('Raw Data'!$B$2:$B$307,A74)</f>
        <v/>
      </c>
    </row>
    <row r="75">
      <c r="A75" s="5" t="n">
        <v>60205</v>
      </c>
      <c r="B75" s="6">
        <f>INDEX('Raw Data'!$D$2:$D$307,MATCH(A75,'Raw Data'!$B$2:$B$307,0))</f>
        <v/>
      </c>
      <c r="C75" s="5">
        <f>INDEX('Raw Data'!$C$2:$C$307,MATCH(A75,'Raw Data'!$B$2:$B$307,0))</f>
        <v/>
      </c>
      <c r="D75" s="7">
        <f>_xlfn.MINIFS('Raw Data'!$E$2:$E$307,'Raw Data'!$B$2:$B$307,A75)</f>
        <v/>
      </c>
      <c r="E75" s="5">
        <f>INDEX('Raw Data'!$A$2:$A$307,MATCH(1,INDEX(('Raw Data'!$B$2:$B$307=A75)*('Raw Data'!$E$2:$E$307=D75),0),0))</f>
        <v/>
      </c>
      <c r="F75" s="7">
        <f>_xlfn.MAXIFS('Raw Data'!$E$2:$E$307,'Raw Data'!$B$2:$B$307,A75)</f>
        <v/>
      </c>
      <c r="G75" s="5">
        <f>INDEX('Raw Data'!$A$2:$A$307,MATCH(1,INDEX(('Raw Data'!$B$2:$B$307=A75)*('Raw Data'!$E$2:$E$307=F75),0),0))</f>
        <v/>
      </c>
      <c r="H75" s="7">
        <f>F75-D75</f>
        <v/>
      </c>
      <c r="I75" s="5">
        <f>COUNTIF('Raw Data'!$B$2:$B$307,A75)</f>
        <v/>
      </c>
    </row>
    <row r="76">
      <c r="A76" s="5" t="n">
        <v>60312</v>
      </c>
      <c r="B76" s="6">
        <f>INDEX('Raw Data'!$D$2:$D$307,MATCH(A76,'Raw Data'!$B$2:$B$307,0))</f>
        <v/>
      </c>
      <c r="C76" s="5">
        <f>INDEX('Raw Data'!$C$2:$C$307,MATCH(A76,'Raw Data'!$B$2:$B$307,0))</f>
        <v/>
      </c>
      <c r="D76" s="7">
        <f>_xlfn.MINIFS('Raw Data'!$E$2:$E$307,'Raw Data'!$B$2:$B$307,A76)</f>
        <v/>
      </c>
      <c r="E76" s="5">
        <f>INDEX('Raw Data'!$A$2:$A$307,MATCH(1,INDEX(('Raw Data'!$B$2:$B$307=A76)*('Raw Data'!$E$2:$E$307=D76),0),0))</f>
        <v/>
      </c>
      <c r="F76" s="7">
        <f>_xlfn.MAXIFS('Raw Data'!$E$2:$E$307,'Raw Data'!$B$2:$B$307,A76)</f>
        <v/>
      </c>
      <c r="G76" s="5">
        <f>INDEX('Raw Data'!$A$2:$A$307,MATCH(1,INDEX(('Raw Data'!$B$2:$B$307=A76)*('Raw Data'!$E$2:$E$307=F76),0),0))</f>
        <v/>
      </c>
      <c r="H76" s="7">
        <f>F76-D76</f>
        <v/>
      </c>
      <c r="I76" s="5">
        <f>COUNTIF('Raw Data'!$B$2:$B$307,A76)</f>
        <v/>
      </c>
    </row>
    <row r="77">
      <c r="A77" s="5" t="n">
        <v>60368</v>
      </c>
      <c r="B77" s="6">
        <f>INDEX('Raw Data'!$D$2:$D$307,MATCH(A77,'Raw Data'!$B$2:$B$307,0))</f>
        <v/>
      </c>
      <c r="C77" s="5">
        <f>INDEX('Raw Data'!$C$2:$C$307,MATCH(A77,'Raw Data'!$B$2:$B$307,0))</f>
        <v/>
      </c>
      <c r="D77" s="7">
        <f>_xlfn.MINIFS('Raw Data'!$E$2:$E$307,'Raw Data'!$B$2:$B$307,A77)</f>
        <v/>
      </c>
      <c r="E77" s="5">
        <f>INDEX('Raw Data'!$A$2:$A$307,MATCH(1,INDEX(('Raw Data'!$B$2:$B$307=A77)*('Raw Data'!$E$2:$E$307=D77),0),0))</f>
        <v/>
      </c>
      <c r="F77" s="7">
        <f>_xlfn.MAXIFS('Raw Data'!$E$2:$E$307,'Raw Data'!$B$2:$B$307,A77)</f>
        <v/>
      </c>
      <c r="G77" s="5">
        <f>INDEX('Raw Data'!$A$2:$A$307,MATCH(1,INDEX(('Raw Data'!$B$2:$B$307=A77)*('Raw Data'!$E$2:$E$307=F77),0),0))</f>
        <v/>
      </c>
      <c r="H77" s="7">
        <f>F77-D77</f>
        <v/>
      </c>
      <c r="I77" s="5">
        <f>COUNTIF('Raw Data'!$B$2:$B$307,A77)</f>
        <v/>
      </c>
    </row>
    <row r="78">
      <c r="A78" s="5" t="n">
        <v>60373</v>
      </c>
      <c r="B78" s="6">
        <f>INDEX('Raw Data'!$D$2:$D$307,MATCH(A78,'Raw Data'!$B$2:$B$307,0))</f>
        <v/>
      </c>
      <c r="C78" s="5">
        <f>INDEX('Raw Data'!$C$2:$C$307,MATCH(A78,'Raw Data'!$B$2:$B$307,0))</f>
        <v/>
      </c>
      <c r="D78" s="7">
        <f>_xlfn.MINIFS('Raw Data'!$E$2:$E$307,'Raw Data'!$B$2:$B$307,A78)</f>
        <v/>
      </c>
      <c r="E78" s="5">
        <f>INDEX('Raw Data'!$A$2:$A$307,MATCH(1,INDEX(('Raw Data'!$B$2:$B$307=A78)*('Raw Data'!$E$2:$E$307=D78),0),0))</f>
        <v/>
      </c>
      <c r="F78" s="7">
        <f>_xlfn.MAXIFS('Raw Data'!$E$2:$E$307,'Raw Data'!$B$2:$B$307,A78)</f>
        <v/>
      </c>
      <c r="G78" s="5">
        <f>INDEX('Raw Data'!$A$2:$A$307,MATCH(1,INDEX(('Raw Data'!$B$2:$B$307=A78)*('Raw Data'!$E$2:$E$307=F78),0),0))</f>
        <v/>
      </c>
      <c r="H78" s="7">
        <f>F78-D78</f>
        <v/>
      </c>
      <c r="I78" s="5">
        <f>COUNTIF('Raw Data'!$B$2:$B$307,A78)</f>
        <v/>
      </c>
    </row>
    <row r="79">
      <c r="A79" s="5" t="n">
        <v>60404</v>
      </c>
      <c r="B79" s="6">
        <f>INDEX('Raw Data'!$D$2:$D$307,MATCH(A79,'Raw Data'!$B$2:$B$307,0))</f>
        <v/>
      </c>
      <c r="C79" s="5">
        <f>INDEX('Raw Data'!$C$2:$C$307,MATCH(A79,'Raw Data'!$B$2:$B$307,0))</f>
        <v/>
      </c>
      <c r="D79" s="7">
        <f>_xlfn.MINIFS('Raw Data'!$E$2:$E$307,'Raw Data'!$B$2:$B$307,A79)</f>
        <v/>
      </c>
      <c r="E79" s="5">
        <f>INDEX('Raw Data'!$A$2:$A$307,MATCH(1,INDEX(('Raw Data'!$B$2:$B$307=A79)*('Raw Data'!$E$2:$E$307=D79),0),0))</f>
        <v/>
      </c>
      <c r="F79" s="7">
        <f>_xlfn.MAXIFS('Raw Data'!$E$2:$E$307,'Raw Data'!$B$2:$B$307,A79)</f>
        <v/>
      </c>
      <c r="G79" s="5">
        <f>INDEX('Raw Data'!$A$2:$A$307,MATCH(1,INDEX(('Raw Data'!$B$2:$B$307=A79)*('Raw Data'!$E$2:$E$307=F79),0),0))</f>
        <v/>
      </c>
      <c r="H79" s="7">
        <f>F79-D79</f>
        <v/>
      </c>
      <c r="I79" s="5">
        <f>COUNTIF('Raw Data'!$B$2:$B$307,A79)</f>
        <v/>
      </c>
    </row>
    <row r="80">
      <c r="A80" s="5" t="n">
        <v>60414</v>
      </c>
      <c r="B80" s="6">
        <f>INDEX('Raw Data'!$D$2:$D$307,MATCH(A80,'Raw Data'!$B$2:$B$307,0))</f>
        <v/>
      </c>
      <c r="C80" s="5">
        <f>INDEX('Raw Data'!$C$2:$C$307,MATCH(A80,'Raw Data'!$B$2:$B$307,0))</f>
        <v/>
      </c>
      <c r="D80" s="7">
        <f>_xlfn.MINIFS('Raw Data'!$E$2:$E$307,'Raw Data'!$B$2:$B$307,A80)</f>
        <v/>
      </c>
      <c r="E80" s="5">
        <f>INDEX('Raw Data'!$A$2:$A$307,MATCH(1,INDEX(('Raw Data'!$B$2:$B$307=A80)*('Raw Data'!$E$2:$E$307=D80),0),0))</f>
        <v/>
      </c>
      <c r="F80" s="7">
        <f>_xlfn.MAXIFS('Raw Data'!$E$2:$E$307,'Raw Data'!$B$2:$B$307,A80)</f>
        <v/>
      </c>
      <c r="G80" s="5">
        <f>INDEX('Raw Data'!$A$2:$A$307,MATCH(1,INDEX(('Raw Data'!$B$2:$B$307=A80)*('Raw Data'!$E$2:$E$307=F80),0),0))</f>
        <v/>
      </c>
      <c r="H80" s="7">
        <f>F80-D80</f>
        <v/>
      </c>
      <c r="I80" s="5">
        <f>COUNTIF('Raw Data'!$B$2:$B$307,A80)</f>
        <v/>
      </c>
    </row>
    <row r="81">
      <c r="A81" s="5" t="n">
        <v>60419</v>
      </c>
      <c r="B81" s="6">
        <f>INDEX('Raw Data'!$D$2:$D$307,MATCH(A81,'Raw Data'!$B$2:$B$307,0))</f>
        <v/>
      </c>
      <c r="C81" s="5">
        <f>INDEX('Raw Data'!$C$2:$C$307,MATCH(A81,'Raw Data'!$B$2:$B$307,0))</f>
        <v/>
      </c>
      <c r="D81" s="7">
        <f>_xlfn.MINIFS('Raw Data'!$E$2:$E$307,'Raw Data'!$B$2:$B$307,A81)</f>
        <v/>
      </c>
      <c r="E81" s="5">
        <f>INDEX('Raw Data'!$A$2:$A$307,MATCH(1,INDEX(('Raw Data'!$B$2:$B$307=A81)*('Raw Data'!$E$2:$E$307=D81),0),0))</f>
        <v/>
      </c>
      <c r="F81" s="7">
        <f>_xlfn.MAXIFS('Raw Data'!$E$2:$E$307,'Raw Data'!$B$2:$B$307,A81)</f>
        <v/>
      </c>
      <c r="G81" s="5">
        <f>INDEX('Raw Data'!$A$2:$A$307,MATCH(1,INDEX(('Raw Data'!$B$2:$B$307=A81)*('Raw Data'!$E$2:$E$307=F81),0),0))</f>
        <v/>
      </c>
      <c r="H81" s="7">
        <f>F81-D81</f>
        <v/>
      </c>
      <c r="I81" s="5">
        <f>COUNTIF('Raw Data'!$B$2:$B$307,A81)</f>
        <v/>
      </c>
    </row>
    <row r="82">
      <c r="A82" s="5" t="n">
        <v>60430</v>
      </c>
      <c r="B82" s="6">
        <f>INDEX('Raw Data'!$D$2:$D$307,MATCH(A82,'Raw Data'!$B$2:$B$307,0))</f>
        <v/>
      </c>
      <c r="C82" s="5">
        <f>INDEX('Raw Data'!$C$2:$C$307,MATCH(A82,'Raw Data'!$B$2:$B$307,0))</f>
        <v/>
      </c>
      <c r="D82" s="7">
        <f>_xlfn.MINIFS('Raw Data'!$E$2:$E$307,'Raw Data'!$B$2:$B$307,A82)</f>
        <v/>
      </c>
      <c r="E82" s="5">
        <f>INDEX('Raw Data'!$A$2:$A$307,MATCH(1,INDEX(('Raw Data'!$B$2:$B$307=A82)*('Raw Data'!$E$2:$E$307=D82),0),0))</f>
        <v/>
      </c>
      <c r="F82" s="7">
        <f>_xlfn.MAXIFS('Raw Data'!$E$2:$E$307,'Raw Data'!$B$2:$B$307,A82)</f>
        <v/>
      </c>
      <c r="G82" s="5">
        <f>INDEX('Raw Data'!$A$2:$A$307,MATCH(1,INDEX(('Raw Data'!$B$2:$B$307=A82)*('Raw Data'!$E$2:$E$307=F82),0),0))</f>
        <v/>
      </c>
      <c r="H82" s="7">
        <f>F82-D82</f>
        <v/>
      </c>
      <c r="I82" s="5">
        <f>COUNTIF('Raw Data'!$B$2:$B$307,A82)</f>
        <v/>
      </c>
    </row>
    <row r="83">
      <c r="A83" s="5" t="n">
        <v>60454</v>
      </c>
      <c r="B83" s="6">
        <f>INDEX('Raw Data'!$D$2:$D$307,MATCH(A83,'Raw Data'!$B$2:$B$307,0))</f>
        <v/>
      </c>
      <c r="C83" s="5">
        <f>INDEX('Raw Data'!$C$2:$C$307,MATCH(A83,'Raw Data'!$B$2:$B$307,0))</f>
        <v/>
      </c>
      <c r="D83" s="7">
        <f>_xlfn.MINIFS('Raw Data'!$E$2:$E$307,'Raw Data'!$B$2:$B$307,A83)</f>
        <v/>
      </c>
      <c r="E83" s="5">
        <f>INDEX('Raw Data'!$A$2:$A$307,MATCH(1,INDEX(('Raw Data'!$B$2:$B$307=A83)*('Raw Data'!$E$2:$E$307=D83),0),0))</f>
        <v/>
      </c>
      <c r="F83" s="7">
        <f>_xlfn.MAXIFS('Raw Data'!$E$2:$E$307,'Raw Data'!$B$2:$B$307,A83)</f>
        <v/>
      </c>
      <c r="G83" s="5">
        <f>INDEX('Raw Data'!$A$2:$A$307,MATCH(1,INDEX(('Raw Data'!$B$2:$B$307=A83)*('Raw Data'!$E$2:$E$307=F83),0),0))</f>
        <v/>
      </c>
      <c r="H83" s="7">
        <f>F83-D83</f>
        <v/>
      </c>
      <c r="I83" s="5">
        <f>COUNTIF('Raw Data'!$B$2:$B$307,A83)</f>
        <v/>
      </c>
    </row>
    <row r="84">
      <c r="A84" s="5" t="n">
        <v>60465</v>
      </c>
      <c r="B84" s="6">
        <f>INDEX('Raw Data'!$D$2:$D$307,MATCH(A84,'Raw Data'!$B$2:$B$307,0))</f>
        <v/>
      </c>
      <c r="C84" s="5">
        <f>INDEX('Raw Data'!$C$2:$C$307,MATCH(A84,'Raw Data'!$B$2:$B$307,0))</f>
        <v/>
      </c>
      <c r="D84" s="7">
        <f>_xlfn.MINIFS('Raw Data'!$E$2:$E$307,'Raw Data'!$B$2:$B$307,A84)</f>
        <v/>
      </c>
      <c r="E84" s="5">
        <f>INDEX('Raw Data'!$A$2:$A$307,MATCH(1,INDEX(('Raw Data'!$B$2:$B$307=A84)*('Raw Data'!$E$2:$E$307=D84),0),0))</f>
        <v/>
      </c>
      <c r="F84" s="7">
        <f>_xlfn.MAXIFS('Raw Data'!$E$2:$E$307,'Raw Data'!$B$2:$B$307,A84)</f>
        <v/>
      </c>
      <c r="G84" s="5">
        <f>INDEX('Raw Data'!$A$2:$A$307,MATCH(1,INDEX(('Raw Data'!$B$2:$B$307=A84)*('Raw Data'!$E$2:$E$307=F84),0),0))</f>
        <v/>
      </c>
      <c r="H84" s="7">
        <f>F84-D84</f>
        <v/>
      </c>
      <c r="I84" s="5">
        <f>COUNTIF('Raw Data'!$B$2:$B$307,A84)</f>
        <v/>
      </c>
    </row>
    <row r="85">
      <c r="A85" s="5" t="n">
        <v>60473</v>
      </c>
      <c r="B85" s="6">
        <f>INDEX('Raw Data'!$D$2:$D$307,MATCH(A85,'Raw Data'!$B$2:$B$307,0))</f>
        <v/>
      </c>
      <c r="C85" s="5">
        <f>INDEX('Raw Data'!$C$2:$C$307,MATCH(A85,'Raw Data'!$B$2:$B$307,0))</f>
        <v/>
      </c>
      <c r="D85" s="7">
        <f>_xlfn.MINIFS('Raw Data'!$E$2:$E$307,'Raw Data'!$B$2:$B$307,A85)</f>
        <v/>
      </c>
      <c r="E85" s="5">
        <f>INDEX('Raw Data'!$A$2:$A$307,MATCH(1,INDEX(('Raw Data'!$B$2:$B$307=A85)*('Raw Data'!$E$2:$E$307=D85),0),0))</f>
        <v/>
      </c>
      <c r="F85" s="7">
        <f>_xlfn.MAXIFS('Raw Data'!$E$2:$E$307,'Raw Data'!$B$2:$B$307,A85)</f>
        <v/>
      </c>
      <c r="G85" s="5">
        <f>INDEX('Raw Data'!$A$2:$A$307,MATCH(1,INDEX(('Raw Data'!$B$2:$B$307=A85)*('Raw Data'!$E$2:$E$307=F85),0),0))</f>
        <v/>
      </c>
      <c r="H85" s="7">
        <f>F85-D85</f>
        <v/>
      </c>
      <c r="I85" s="5">
        <f>COUNTIF('Raw Data'!$B$2:$B$307,A85)</f>
        <v/>
      </c>
    </row>
    <row r="86">
      <c r="A86" s="5" t="n">
        <v>60474</v>
      </c>
      <c r="B86" s="6">
        <f>INDEX('Raw Data'!$D$2:$D$307,MATCH(A86,'Raw Data'!$B$2:$B$307,0))</f>
        <v/>
      </c>
      <c r="C86" s="5">
        <f>INDEX('Raw Data'!$C$2:$C$307,MATCH(A86,'Raw Data'!$B$2:$B$307,0))</f>
        <v/>
      </c>
      <c r="D86" s="7">
        <f>_xlfn.MINIFS('Raw Data'!$E$2:$E$307,'Raw Data'!$B$2:$B$307,A86)</f>
        <v/>
      </c>
      <c r="E86" s="5">
        <f>INDEX('Raw Data'!$A$2:$A$307,MATCH(1,INDEX(('Raw Data'!$B$2:$B$307=A86)*('Raw Data'!$E$2:$E$307=D86),0),0))</f>
        <v/>
      </c>
      <c r="F86" s="7">
        <f>_xlfn.MAXIFS('Raw Data'!$E$2:$E$307,'Raw Data'!$B$2:$B$307,A86)</f>
        <v/>
      </c>
      <c r="G86" s="5">
        <f>INDEX('Raw Data'!$A$2:$A$307,MATCH(1,INDEX(('Raw Data'!$B$2:$B$307=A86)*('Raw Data'!$E$2:$E$307=F86),0),0))</f>
        <v/>
      </c>
      <c r="H86" s="7">
        <f>F86-D86</f>
        <v/>
      </c>
      <c r="I86" s="5">
        <f>COUNTIF('Raw Data'!$B$2:$B$307,A86)</f>
        <v/>
      </c>
    </row>
    <row r="87">
      <c r="A87" s="5" t="n">
        <v>60478</v>
      </c>
      <c r="B87" s="6">
        <f>INDEX('Raw Data'!$D$2:$D$307,MATCH(A87,'Raw Data'!$B$2:$B$307,0))</f>
        <v/>
      </c>
      <c r="C87" s="5">
        <f>INDEX('Raw Data'!$C$2:$C$307,MATCH(A87,'Raw Data'!$B$2:$B$307,0))</f>
        <v/>
      </c>
      <c r="D87" s="7">
        <f>_xlfn.MINIFS('Raw Data'!$E$2:$E$307,'Raw Data'!$B$2:$B$307,A87)</f>
        <v/>
      </c>
      <c r="E87" s="5">
        <f>INDEX('Raw Data'!$A$2:$A$307,MATCH(1,INDEX(('Raw Data'!$B$2:$B$307=A87)*('Raw Data'!$E$2:$E$307=D87),0),0))</f>
        <v/>
      </c>
      <c r="F87" s="7">
        <f>_xlfn.MAXIFS('Raw Data'!$E$2:$E$307,'Raw Data'!$B$2:$B$307,A87)</f>
        <v/>
      </c>
      <c r="G87" s="5">
        <f>INDEX('Raw Data'!$A$2:$A$307,MATCH(1,INDEX(('Raw Data'!$B$2:$B$307=A87)*('Raw Data'!$E$2:$E$307=F87),0),0))</f>
        <v/>
      </c>
      <c r="H87" s="7">
        <f>F87-D87</f>
        <v/>
      </c>
      <c r="I87" s="5">
        <f>COUNTIF('Raw Data'!$B$2:$B$307,A87)</f>
        <v/>
      </c>
    </row>
    <row r="88">
      <c r="A88" s="5" t="n">
        <v>60479</v>
      </c>
      <c r="B88" s="6">
        <f>INDEX('Raw Data'!$D$2:$D$307,MATCH(A88,'Raw Data'!$B$2:$B$307,0))</f>
        <v/>
      </c>
      <c r="C88" s="5">
        <f>INDEX('Raw Data'!$C$2:$C$307,MATCH(A88,'Raw Data'!$B$2:$B$307,0))</f>
        <v/>
      </c>
      <c r="D88" s="7">
        <f>_xlfn.MINIFS('Raw Data'!$E$2:$E$307,'Raw Data'!$B$2:$B$307,A88)</f>
        <v/>
      </c>
      <c r="E88" s="5">
        <f>INDEX('Raw Data'!$A$2:$A$307,MATCH(1,INDEX(('Raw Data'!$B$2:$B$307=A88)*('Raw Data'!$E$2:$E$307=D88),0),0))</f>
        <v/>
      </c>
      <c r="F88" s="7">
        <f>_xlfn.MAXIFS('Raw Data'!$E$2:$E$307,'Raw Data'!$B$2:$B$307,A88)</f>
        <v/>
      </c>
      <c r="G88" s="5">
        <f>INDEX('Raw Data'!$A$2:$A$307,MATCH(1,INDEX(('Raw Data'!$B$2:$B$307=A88)*('Raw Data'!$E$2:$E$307=F88),0),0))</f>
        <v/>
      </c>
      <c r="H88" s="7">
        <f>F88-D88</f>
        <v/>
      </c>
      <c r="I88" s="5">
        <f>COUNTIF('Raw Data'!$B$2:$B$307,A88)</f>
        <v/>
      </c>
    </row>
    <row r="89">
      <c r="A89" s="5" t="n">
        <v>60480</v>
      </c>
      <c r="B89" s="6">
        <f>INDEX('Raw Data'!$D$2:$D$307,MATCH(A89,'Raw Data'!$B$2:$B$307,0))</f>
        <v/>
      </c>
      <c r="C89" s="5">
        <f>INDEX('Raw Data'!$C$2:$C$307,MATCH(A89,'Raw Data'!$B$2:$B$307,0))</f>
        <v/>
      </c>
      <c r="D89" s="7">
        <f>_xlfn.MINIFS('Raw Data'!$E$2:$E$307,'Raw Data'!$B$2:$B$307,A89)</f>
        <v/>
      </c>
      <c r="E89" s="5">
        <f>INDEX('Raw Data'!$A$2:$A$307,MATCH(1,INDEX(('Raw Data'!$B$2:$B$307=A89)*('Raw Data'!$E$2:$E$307=D89),0),0))</f>
        <v/>
      </c>
      <c r="F89" s="7">
        <f>_xlfn.MAXIFS('Raw Data'!$E$2:$E$307,'Raw Data'!$B$2:$B$307,A89)</f>
        <v/>
      </c>
      <c r="G89" s="5">
        <f>INDEX('Raw Data'!$A$2:$A$307,MATCH(1,INDEX(('Raw Data'!$B$2:$B$307=A89)*('Raw Data'!$E$2:$E$307=F89),0),0))</f>
        <v/>
      </c>
      <c r="H89" s="7">
        <f>F89-D89</f>
        <v/>
      </c>
      <c r="I89" s="5">
        <f>COUNTIF('Raw Data'!$B$2:$B$307,A89)</f>
        <v/>
      </c>
    </row>
    <row r="90">
      <c r="A90" s="5" t="n">
        <v>60481</v>
      </c>
      <c r="B90" s="6">
        <f>INDEX('Raw Data'!$D$2:$D$307,MATCH(A90,'Raw Data'!$B$2:$B$307,0))</f>
        <v/>
      </c>
      <c r="C90" s="5">
        <f>INDEX('Raw Data'!$C$2:$C$307,MATCH(A90,'Raw Data'!$B$2:$B$307,0))</f>
        <v/>
      </c>
      <c r="D90" s="7">
        <f>_xlfn.MINIFS('Raw Data'!$E$2:$E$307,'Raw Data'!$B$2:$B$307,A90)</f>
        <v/>
      </c>
      <c r="E90" s="5">
        <f>INDEX('Raw Data'!$A$2:$A$307,MATCH(1,INDEX(('Raw Data'!$B$2:$B$307=A90)*('Raw Data'!$E$2:$E$307=D90),0),0))</f>
        <v/>
      </c>
      <c r="F90" s="7">
        <f>_xlfn.MAXIFS('Raw Data'!$E$2:$E$307,'Raw Data'!$B$2:$B$307,A90)</f>
        <v/>
      </c>
      <c r="G90" s="5">
        <f>INDEX('Raw Data'!$A$2:$A$307,MATCH(1,INDEX(('Raw Data'!$B$2:$B$307=A90)*('Raw Data'!$E$2:$E$307=F90),0),0))</f>
        <v/>
      </c>
      <c r="H90" s="7">
        <f>F90-D90</f>
        <v/>
      </c>
      <c r="I90" s="5">
        <f>COUNTIF('Raw Data'!$B$2:$B$307,A90)</f>
        <v/>
      </c>
    </row>
    <row r="91">
      <c r="A91" s="5" t="n">
        <v>60482</v>
      </c>
      <c r="B91" s="6">
        <f>INDEX('Raw Data'!$D$2:$D$307,MATCH(A91,'Raw Data'!$B$2:$B$307,0))</f>
        <v/>
      </c>
      <c r="C91" s="5">
        <f>INDEX('Raw Data'!$C$2:$C$307,MATCH(A91,'Raw Data'!$B$2:$B$307,0))</f>
        <v/>
      </c>
      <c r="D91" s="7">
        <f>_xlfn.MINIFS('Raw Data'!$E$2:$E$307,'Raw Data'!$B$2:$B$307,A91)</f>
        <v/>
      </c>
      <c r="E91" s="5">
        <f>INDEX('Raw Data'!$A$2:$A$307,MATCH(1,INDEX(('Raw Data'!$B$2:$B$307=A91)*('Raw Data'!$E$2:$E$307=D91),0),0))</f>
        <v/>
      </c>
      <c r="F91" s="7">
        <f>_xlfn.MAXIFS('Raw Data'!$E$2:$E$307,'Raw Data'!$B$2:$B$307,A91)</f>
        <v/>
      </c>
      <c r="G91" s="5">
        <f>INDEX('Raw Data'!$A$2:$A$307,MATCH(1,INDEX(('Raw Data'!$B$2:$B$307=A91)*('Raw Data'!$E$2:$E$307=F91),0),0))</f>
        <v/>
      </c>
      <c r="H91" s="7">
        <f>F91-D91</f>
        <v/>
      </c>
      <c r="I91" s="5">
        <f>COUNTIF('Raw Data'!$B$2:$B$307,A91)</f>
        <v/>
      </c>
    </row>
    <row r="92">
      <c r="A92" s="5" t="n">
        <v>60483</v>
      </c>
      <c r="B92" s="6">
        <f>INDEX('Raw Data'!$D$2:$D$307,MATCH(A92,'Raw Data'!$B$2:$B$307,0))</f>
        <v/>
      </c>
      <c r="C92" s="5">
        <f>INDEX('Raw Data'!$C$2:$C$307,MATCH(A92,'Raw Data'!$B$2:$B$307,0))</f>
        <v/>
      </c>
      <c r="D92" s="7">
        <f>_xlfn.MINIFS('Raw Data'!$E$2:$E$307,'Raw Data'!$B$2:$B$307,A92)</f>
        <v/>
      </c>
      <c r="E92" s="5">
        <f>INDEX('Raw Data'!$A$2:$A$307,MATCH(1,INDEX(('Raw Data'!$B$2:$B$307=A92)*('Raw Data'!$E$2:$E$307=D92),0),0))</f>
        <v/>
      </c>
      <c r="F92" s="7">
        <f>_xlfn.MAXIFS('Raw Data'!$E$2:$E$307,'Raw Data'!$B$2:$B$307,A92)</f>
        <v/>
      </c>
      <c r="G92" s="5">
        <f>INDEX('Raw Data'!$A$2:$A$307,MATCH(1,INDEX(('Raw Data'!$B$2:$B$307=A92)*('Raw Data'!$E$2:$E$307=F92),0),0))</f>
        <v/>
      </c>
      <c r="H92" s="7">
        <f>F92-D92</f>
        <v/>
      </c>
      <c r="I92" s="5">
        <f>COUNTIF('Raw Data'!$B$2:$B$307,A92)</f>
        <v/>
      </c>
    </row>
    <row r="93">
      <c r="A93" s="5" t="n">
        <v>60484</v>
      </c>
      <c r="B93" s="6">
        <f>INDEX('Raw Data'!$D$2:$D$307,MATCH(A93,'Raw Data'!$B$2:$B$307,0))</f>
        <v/>
      </c>
      <c r="C93" s="5">
        <f>INDEX('Raw Data'!$C$2:$C$307,MATCH(A93,'Raw Data'!$B$2:$B$307,0))</f>
        <v/>
      </c>
      <c r="D93" s="7">
        <f>_xlfn.MINIFS('Raw Data'!$E$2:$E$307,'Raw Data'!$B$2:$B$307,A93)</f>
        <v/>
      </c>
      <c r="E93" s="5">
        <f>INDEX('Raw Data'!$A$2:$A$307,MATCH(1,INDEX(('Raw Data'!$B$2:$B$307=A93)*('Raw Data'!$E$2:$E$307=D93),0),0))</f>
        <v/>
      </c>
      <c r="F93" s="7">
        <f>_xlfn.MAXIFS('Raw Data'!$E$2:$E$307,'Raw Data'!$B$2:$B$307,A93)</f>
        <v/>
      </c>
      <c r="G93" s="5">
        <f>INDEX('Raw Data'!$A$2:$A$307,MATCH(1,INDEX(('Raw Data'!$B$2:$B$307=A93)*('Raw Data'!$E$2:$E$307=F93),0),0))</f>
        <v/>
      </c>
      <c r="H93" s="7">
        <f>F93-D93</f>
        <v/>
      </c>
      <c r="I93" s="5">
        <f>COUNTIF('Raw Data'!$B$2:$B$307,A93)</f>
        <v/>
      </c>
    </row>
    <row r="94">
      <c r="A94" s="5" t="n">
        <v>60485</v>
      </c>
      <c r="B94" s="6">
        <f>INDEX('Raw Data'!$D$2:$D$307,MATCH(A94,'Raw Data'!$B$2:$B$307,0))</f>
        <v/>
      </c>
      <c r="C94" s="5">
        <f>INDEX('Raw Data'!$C$2:$C$307,MATCH(A94,'Raw Data'!$B$2:$B$307,0))</f>
        <v/>
      </c>
      <c r="D94" s="7">
        <f>_xlfn.MINIFS('Raw Data'!$E$2:$E$307,'Raw Data'!$B$2:$B$307,A94)</f>
        <v/>
      </c>
      <c r="E94" s="5">
        <f>INDEX('Raw Data'!$A$2:$A$307,MATCH(1,INDEX(('Raw Data'!$B$2:$B$307=A94)*('Raw Data'!$E$2:$E$307=D94),0),0))</f>
        <v/>
      </c>
      <c r="F94" s="7">
        <f>_xlfn.MAXIFS('Raw Data'!$E$2:$E$307,'Raw Data'!$B$2:$B$307,A94)</f>
        <v/>
      </c>
      <c r="G94" s="5">
        <f>INDEX('Raw Data'!$A$2:$A$307,MATCH(1,INDEX(('Raw Data'!$B$2:$B$307=A94)*('Raw Data'!$E$2:$E$307=F94),0),0))</f>
        <v/>
      </c>
      <c r="H94" s="7">
        <f>F94-D94</f>
        <v/>
      </c>
      <c r="I94" s="5">
        <f>COUNTIF('Raw Data'!$B$2:$B$307,A94)</f>
        <v/>
      </c>
    </row>
    <row r="95">
      <c r="A95" s="5" t="n">
        <v>60486</v>
      </c>
      <c r="B95" s="6">
        <f>INDEX('Raw Data'!$D$2:$D$307,MATCH(A95,'Raw Data'!$B$2:$B$307,0))</f>
        <v/>
      </c>
      <c r="C95" s="5">
        <f>INDEX('Raw Data'!$C$2:$C$307,MATCH(A95,'Raw Data'!$B$2:$B$307,0))</f>
        <v/>
      </c>
      <c r="D95" s="7">
        <f>_xlfn.MINIFS('Raw Data'!$E$2:$E$307,'Raw Data'!$B$2:$B$307,A95)</f>
        <v/>
      </c>
      <c r="E95" s="5">
        <f>INDEX('Raw Data'!$A$2:$A$307,MATCH(1,INDEX(('Raw Data'!$B$2:$B$307=A95)*('Raw Data'!$E$2:$E$307=D95),0),0))</f>
        <v/>
      </c>
      <c r="F95" s="7">
        <f>_xlfn.MAXIFS('Raw Data'!$E$2:$E$307,'Raw Data'!$B$2:$B$307,A95)</f>
        <v/>
      </c>
      <c r="G95" s="5">
        <f>INDEX('Raw Data'!$A$2:$A$307,MATCH(1,INDEX(('Raw Data'!$B$2:$B$307=A95)*('Raw Data'!$E$2:$E$307=F95),0),0))</f>
        <v/>
      </c>
      <c r="H95" s="7">
        <f>F95-D95</f>
        <v/>
      </c>
      <c r="I95" s="5">
        <f>COUNTIF('Raw Data'!$B$2:$B$307,A95)</f>
        <v/>
      </c>
    </row>
    <row r="96">
      <c r="A96" s="5" t="n">
        <v>60487</v>
      </c>
      <c r="B96" s="6">
        <f>INDEX('Raw Data'!$D$2:$D$307,MATCH(A96,'Raw Data'!$B$2:$B$307,0))</f>
        <v/>
      </c>
      <c r="C96" s="5">
        <f>INDEX('Raw Data'!$C$2:$C$307,MATCH(A96,'Raw Data'!$B$2:$B$307,0))</f>
        <v/>
      </c>
      <c r="D96" s="7">
        <f>_xlfn.MINIFS('Raw Data'!$E$2:$E$307,'Raw Data'!$B$2:$B$307,A96)</f>
        <v/>
      </c>
      <c r="E96" s="5">
        <f>INDEX('Raw Data'!$A$2:$A$307,MATCH(1,INDEX(('Raw Data'!$B$2:$B$307=A96)*('Raw Data'!$E$2:$E$307=D96),0),0))</f>
        <v/>
      </c>
      <c r="F96" s="7">
        <f>_xlfn.MAXIFS('Raw Data'!$E$2:$E$307,'Raw Data'!$B$2:$B$307,A96)</f>
        <v/>
      </c>
      <c r="G96" s="5">
        <f>INDEX('Raw Data'!$A$2:$A$307,MATCH(1,INDEX(('Raw Data'!$B$2:$B$307=A96)*('Raw Data'!$E$2:$E$307=F96),0),0))</f>
        <v/>
      </c>
      <c r="H96" s="7">
        <f>F96-D96</f>
        <v/>
      </c>
      <c r="I96" s="5">
        <f>COUNTIF('Raw Data'!$B$2:$B$307,A96)</f>
        <v/>
      </c>
    </row>
    <row r="97">
      <c r="A97" s="5" t="n">
        <v>60488</v>
      </c>
      <c r="B97" s="6">
        <f>INDEX('Raw Data'!$D$2:$D$307,MATCH(A97,'Raw Data'!$B$2:$B$307,0))</f>
        <v/>
      </c>
      <c r="C97" s="5">
        <f>INDEX('Raw Data'!$C$2:$C$307,MATCH(A97,'Raw Data'!$B$2:$B$307,0))</f>
        <v/>
      </c>
      <c r="D97" s="7">
        <f>_xlfn.MINIFS('Raw Data'!$E$2:$E$307,'Raw Data'!$B$2:$B$307,A97)</f>
        <v/>
      </c>
      <c r="E97" s="5">
        <f>INDEX('Raw Data'!$A$2:$A$307,MATCH(1,INDEX(('Raw Data'!$B$2:$B$307=A97)*('Raw Data'!$E$2:$E$307=D97),0),0))</f>
        <v/>
      </c>
      <c r="F97" s="7">
        <f>_xlfn.MAXIFS('Raw Data'!$E$2:$E$307,'Raw Data'!$B$2:$B$307,A97)</f>
        <v/>
      </c>
      <c r="G97" s="5">
        <f>INDEX('Raw Data'!$A$2:$A$307,MATCH(1,INDEX(('Raw Data'!$B$2:$B$307=A97)*('Raw Data'!$E$2:$E$307=F97),0),0))</f>
        <v/>
      </c>
      <c r="H97" s="7">
        <f>F97-D97</f>
        <v/>
      </c>
      <c r="I97" s="5">
        <f>COUNTIF('Raw Data'!$B$2:$B$307,A97)</f>
        <v/>
      </c>
    </row>
    <row r="98">
      <c r="A98" s="5" t="n">
        <v>60489</v>
      </c>
      <c r="B98" s="6">
        <f>INDEX('Raw Data'!$D$2:$D$307,MATCH(A98,'Raw Data'!$B$2:$B$307,0))</f>
        <v/>
      </c>
      <c r="C98" s="5">
        <f>INDEX('Raw Data'!$C$2:$C$307,MATCH(A98,'Raw Data'!$B$2:$B$307,0))</f>
        <v/>
      </c>
      <c r="D98" s="7">
        <f>_xlfn.MINIFS('Raw Data'!$E$2:$E$307,'Raw Data'!$B$2:$B$307,A98)</f>
        <v/>
      </c>
      <c r="E98" s="5">
        <f>INDEX('Raw Data'!$A$2:$A$307,MATCH(1,INDEX(('Raw Data'!$B$2:$B$307=A98)*('Raw Data'!$E$2:$E$307=D98),0),0))</f>
        <v/>
      </c>
      <c r="F98" s="7">
        <f>_xlfn.MAXIFS('Raw Data'!$E$2:$E$307,'Raw Data'!$B$2:$B$307,A98)</f>
        <v/>
      </c>
      <c r="G98" s="5">
        <f>INDEX('Raw Data'!$A$2:$A$307,MATCH(1,INDEX(('Raw Data'!$B$2:$B$307=A98)*('Raw Data'!$E$2:$E$307=F98),0),0))</f>
        <v/>
      </c>
      <c r="H98" s="7">
        <f>F98-D98</f>
        <v/>
      </c>
      <c r="I98" s="5">
        <f>COUNTIF('Raw Data'!$B$2:$B$307,A98)</f>
        <v/>
      </c>
    </row>
    <row r="99">
      <c r="A99" s="5" t="n">
        <v>60490</v>
      </c>
      <c r="B99" s="6">
        <f>INDEX('Raw Data'!$D$2:$D$307,MATCH(A99,'Raw Data'!$B$2:$B$307,0))</f>
        <v/>
      </c>
      <c r="C99" s="5">
        <f>INDEX('Raw Data'!$C$2:$C$307,MATCH(A99,'Raw Data'!$B$2:$B$307,0))</f>
        <v/>
      </c>
      <c r="D99" s="7">
        <f>_xlfn.MINIFS('Raw Data'!$E$2:$E$307,'Raw Data'!$B$2:$B$307,A99)</f>
        <v/>
      </c>
      <c r="E99" s="5">
        <f>INDEX('Raw Data'!$A$2:$A$307,MATCH(1,INDEX(('Raw Data'!$B$2:$B$307=A99)*('Raw Data'!$E$2:$E$307=D99),0),0))</f>
        <v/>
      </c>
      <c r="F99" s="7">
        <f>_xlfn.MAXIFS('Raw Data'!$E$2:$E$307,'Raw Data'!$B$2:$B$307,A99)</f>
        <v/>
      </c>
      <c r="G99" s="5">
        <f>INDEX('Raw Data'!$A$2:$A$307,MATCH(1,INDEX(('Raw Data'!$B$2:$B$307=A99)*('Raw Data'!$E$2:$E$307=F99),0),0))</f>
        <v/>
      </c>
      <c r="H99" s="7">
        <f>F99-D99</f>
        <v/>
      </c>
      <c r="I99" s="5">
        <f>COUNTIF('Raw Data'!$B$2:$B$307,A99)</f>
        <v/>
      </c>
    </row>
    <row r="100">
      <c r="A100" s="5" t="n">
        <v>60491</v>
      </c>
      <c r="B100" s="6">
        <f>INDEX('Raw Data'!$D$2:$D$307,MATCH(A100,'Raw Data'!$B$2:$B$307,0))</f>
        <v/>
      </c>
      <c r="C100" s="5">
        <f>INDEX('Raw Data'!$C$2:$C$307,MATCH(A100,'Raw Data'!$B$2:$B$307,0))</f>
        <v/>
      </c>
      <c r="D100" s="7">
        <f>_xlfn.MINIFS('Raw Data'!$E$2:$E$307,'Raw Data'!$B$2:$B$307,A100)</f>
        <v/>
      </c>
      <c r="E100" s="5">
        <f>INDEX('Raw Data'!$A$2:$A$307,MATCH(1,INDEX(('Raw Data'!$B$2:$B$307=A100)*('Raw Data'!$E$2:$E$307=D100),0),0))</f>
        <v/>
      </c>
      <c r="F100" s="7">
        <f>_xlfn.MAXIFS('Raw Data'!$E$2:$E$307,'Raw Data'!$B$2:$B$307,A100)</f>
        <v/>
      </c>
      <c r="G100" s="5">
        <f>INDEX('Raw Data'!$A$2:$A$307,MATCH(1,INDEX(('Raw Data'!$B$2:$B$307=A100)*('Raw Data'!$E$2:$E$307=F100),0),0))</f>
        <v/>
      </c>
      <c r="H100" s="7">
        <f>F100-D100</f>
        <v/>
      </c>
      <c r="I100" s="5">
        <f>COUNTIF('Raw Data'!$B$2:$B$307,A100)</f>
        <v/>
      </c>
    </row>
    <row r="101">
      <c r="A101" s="5" t="n">
        <v>60492</v>
      </c>
      <c r="B101" s="6">
        <f>INDEX('Raw Data'!$D$2:$D$307,MATCH(A101,'Raw Data'!$B$2:$B$307,0))</f>
        <v/>
      </c>
      <c r="C101" s="5">
        <f>INDEX('Raw Data'!$C$2:$C$307,MATCH(A101,'Raw Data'!$B$2:$B$307,0))</f>
        <v/>
      </c>
      <c r="D101" s="7">
        <f>_xlfn.MINIFS('Raw Data'!$E$2:$E$307,'Raw Data'!$B$2:$B$307,A101)</f>
        <v/>
      </c>
      <c r="E101" s="5">
        <f>INDEX('Raw Data'!$A$2:$A$307,MATCH(1,INDEX(('Raw Data'!$B$2:$B$307=A101)*('Raw Data'!$E$2:$E$307=D101),0),0))</f>
        <v/>
      </c>
      <c r="F101" s="7">
        <f>_xlfn.MAXIFS('Raw Data'!$E$2:$E$307,'Raw Data'!$B$2:$B$307,A101)</f>
        <v/>
      </c>
      <c r="G101" s="5">
        <f>INDEX('Raw Data'!$A$2:$A$307,MATCH(1,INDEX(('Raw Data'!$B$2:$B$307=A101)*('Raw Data'!$E$2:$E$307=F101),0),0))</f>
        <v/>
      </c>
      <c r="H101" s="7">
        <f>F101-D101</f>
        <v/>
      </c>
      <c r="I101" s="5">
        <f>COUNTIF('Raw Data'!$B$2:$B$307,A101)</f>
        <v/>
      </c>
    </row>
    <row r="102">
      <c r="A102" s="5" t="n">
        <v>60493</v>
      </c>
      <c r="B102" s="6">
        <f>INDEX('Raw Data'!$D$2:$D$307,MATCH(A102,'Raw Data'!$B$2:$B$307,0))</f>
        <v/>
      </c>
      <c r="C102" s="5">
        <f>INDEX('Raw Data'!$C$2:$C$307,MATCH(A102,'Raw Data'!$B$2:$B$307,0))</f>
        <v/>
      </c>
      <c r="D102" s="7">
        <f>_xlfn.MINIFS('Raw Data'!$E$2:$E$307,'Raw Data'!$B$2:$B$307,A102)</f>
        <v/>
      </c>
      <c r="E102" s="5">
        <f>INDEX('Raw Data'!$A$2:$A$307,MATCH(1,INDEX(('Raw Data'!$B$2:$B$307=A102)*('Raw Data'!$E$2:$E$307=D102),0),0))</f>
        <v/>
      </c>
      <c r="F102" s="7">
        <f>_xlfn.MAXIFS('Raw Data'!$E$2:$E$307,'Raw Data'!$B$2:$B$307,A102)</f>
        <v/>
      </c>
      <c r="G102" s="5">
        <f>INDEX('Raw Data'!$A$2:$A$307,MATCH(1,INDEX(('Raw Data'!$B$2:$B$307=A102)*('Raw Data'!$E$2:$E$307=F102),0),0))</f>
        <v/>
      </c>
      <c r="H102" s="7">
        <f>F102-D102</f>
        <v/>
      </c>
      <c r="I102" s="5">
        <f>COUNTIF('Raw Data'!$B$2:$B$307,A102)</f>
        <v/>
      </c>
    </row>
    <row r="103">
      <c r="A103" s="5" t="n">
        <v>60494</v>
      </c>
      <c r="B103" s="6">
        <f>INDEX('Raw Data'!$D$2:$D$307,MATCH(A103,'Raw Data'!$B$2:$B$307,0))</f>
        <v/>
      </c>
      <c r="C103" s="5">
        <f>INDEX('Raw Data'!$C$2:$C$307,MATCH(A103,'Raw Data'!$B$2:$B$307,0))</f>
        <v/>
      </c>
      <c r="D103" s="7">
        <f>_xlfn.MINIFS('Raw Data'!$E$2:$E$307,'Raw Data'!$B$2:$B$307,A103)</f>
        <v/>
      </c>
      <c r="E103" s="5">
        <f>INDEX('Raw Data'!$A$2:$A$307,MATCH(1,INDEX(('Raw Data'!$B$2:$B$307=A103)*('Raw Data'!$E$2:$E$307=D103),0),0))</f>
        <v/>
      </c>
      <c r="F103" s="7">
        <f>_xlfn.MAXIFS('Raw Data'!$E$2:$E$307,'Raw Data'!$B$2:$B$307,A103)</f>
        <v/>
      </c>
      <c r="G103" s="5">
        <f>INDEX('Raw Data'!$A$2:$A$307,MATCH(1,INDEX(('Raw Data'!$B$2:$B$307=A103)*('Raw Data'!$E$2:$E$307=F103),0),0))</f>
        <v/>
      </c>
      <c r="H103" s="7">
        <f>F103-D103</f>
        <v/>
      </c>
      <c r="I103" s="5">
        <f>COUNTIF('Raw Data'!$B$2:$B$307,A103)</f>
        <v/>
      </c>
    </row>
    <row r="104">
      <c r="A104" s="5" t="n">
        <v>60495</v>
      </c>
      <c r="B104" s="6">
        <f>INDEX('Raw Data'!$D$2:$D$307,MATCH(A104,'Raw Data'!$B$2:$B$307,0))</f>
        <v/>
      </c>
      <c r="C104" s="5">
        <f>INDEX('Raw Data'!$C$2:$C$307,MATCH(A104,'Raw Data'!$B$2:$B$307,0))</f>
        <v/>
      </c>
      <c r="D104" s="7">
        <f>_xlfn.MINIFS('Raw Data'!$E$2:$E$307,'Raw Data'!$B$2:$B$307,A104)</f>
        <v/>
      </c>
      <c r="E104" s="5">
        <f>INDEX('Raw Data'!$A$2:$A$307,MATCH(1,INDEX(('Raw Data'!$B$2:$B$307=A104)*('Raw Data'!$E$2:$E$307=D104),0),0))</f>
        <v/>
      </c>
      <c r="F104" s="7">
        <f>_xlfn.MAXIFS('Raw Data'!$E$2:$E$307,'Raw Data'!$B$2:$B$307,A104)</f>
        <v/>
      </c>
      <c r="G104" s="5">
        <f>INDEX('Raw Data'!$A$2:$A$307,MATCH(1,INDEX(('Raw Data'!$B$2:$B$307=A104)*('Raw Data'!$E$2:$E$307=F104),0),0))</f>
        <v/>
      </c>
      <c r="H104" s="7">
        <f>F104-D104</f>
        <v/>
      </c>
      <c r="I104" s="5">
        <f>COUNTIF('Raw Data'!$B$2:$B$307,A104)</f>
        <v/>
      </c>
    </row>
    <row r="105">
      <c r="A105" s="5" t="n">
        <v>60496</v>
      </c>
      <c r="B105" s="6">
        <f>INDEX('Raw Data'!$D$2:$D$307,MATCH(A105,'Raw Data'!$B$2:$B$307,0))</f>
        <v/>
      </c>
      <c r="C105" s="5">
        <f>INDEX('Raw Data'!$C$2:$C$307,MATCH(A105,'Raw Data'!$B$2:$B$307,0))</f>
        <v/>
      </c>
      <c r="D105" s="7">
        <f>_xlfn.MINIFS('Raw Data'!$E$2:$E$307,'Raw Data'!$B$2:$B$307,A105)</f>
        <v/>
      </c>
      <c r="E105" s="5">
        <f>INDEX('Raw Data'!$A$2:$A$307,MATCH(1,INDEX(('Raw Data'!$B$2:$B$307=A105)*('Raw Data'!$E$2:$E$307=D105),0),0))</f>
        <v/>
      </c>
      <c r="F105" s="7">
        <f>_xlfn.MAXIFS('Raw Data'!$E$2:$E$307,'Raw Data'!$B$2:$B$307,A105)</f>
        <v/>
      </c>
      <c r="G105" s="5">
        <f>INDEX('Raw Data'!$A$2:$A$307,MATCH(1,INDEX(('Raw Data'!$B$2:$B$307=A105)*('Raw Data'!$E$2:$E$307=F105),0),0))</f>
        <v/>
      </c>
      <c r="H105" s="7">
        <f>F105-D105</f>
        <v/>
      </c>
      <c r="I105" s="5">
        <f>COUNTIF('Raw Data'!$B$2:$B$307,A105)</f>
        <v/>
      </c>
    </row>
    <row r="106">
      <c r="A106" s="5" t="n">
        <v>60497</v>
      </c>
      <c r="B106" s="6">
        <f>INDEX('Raw Data'!$D$2:$D$307,MATCH(A106,'Raw Data'!$B$2:$B$307,0))</f>
        <v/>
      </c>
      <c r="C106" s="5">
        <f>INDEX('Raw Data'!$C$2:$C$307,MATCH(A106,'Raw Data'!$B$2:$B$307,0))</f>
        <v/>
      </c>
      <c r="D106" s="7">
        <f>_xlfn.MINIFS('Raw Data'!$E$2:$E$307,'Raw Data'!$B$2:$B$307,A106)</f>
        <v/>
      </c>
      <c r="E106" s="5">
        <f>INDEX('Raw Data'!$A$2:$A$307,MATCH(1,INDEX(('Raw Data'!$B$2:$B$307=A106)*('Raw Data'!$E$2:$E$307=D106),0),0))</f>
        <v/>
      </c>
      <c r="F106" s="7">
        <f>_xlfn.MAXIFS('Raw Data'!$E$2:$E$307,'Raw Data'!$B$2:$B$307,A106)</f>
        <v/>
      </c>
      <c r="G106" s="5">
        <f>INDEX('Raw Data'!$A$2:$A$307,MATCH(1,INDEX(('Raw Data'!$B$2:$B$307=A106)*('Raw Data'!$E$2:$E$307=F106),0),0))</f>
        <v/>
      </c>
      <c r="H106" s="7">
        <f>F106-D106</f>
        <v/>
      </c>
      <c r="I106" s="5">
        <f>COUNTIF('Raw Data'!$B$2:$B$307,A106)</f>
        <v/>
      </c>
    </row>
    <row r="107">
      <c r="A107" s="5" t="n">
        <v>60498</v>
      </c>
      <c r="B107" s="6">
        <f>INDEX('Raw Data'!$D$2:$D$307,MATCH(A107,'Raw Data'!$B$2:$B$307,0))</f>
        <v/>
      </c>
      <c r="C107" s="5">
        <f>INDEX('Raw Data'!$C$2:$C$307,MATCH(A107,'Raw Data'!$B$2:$B$307,0))</f>
        <v/>
      </c>
      <c r="D107" s="7">
        <f>_xlfn.MINIFS('Raw Data'!$E$2:$E$307,'Raw Data'!$B$2:$B$307,A107)</f>
        <v/>
      </c>
      <c r="E107" s="5">
        <f>INDEX('Raw Data'!$A$2:$A$307,MATCH(1,INDEX(('Raw Data'!$B$2:$B$307=A107)*('Raw Data'!$E$2:$E$307=D107),0),0))</f>
        <v/>
      </c>
      <c r="F107" s="7">
        <f>_xlfn.MAXIFS('Raw Data'!$E$2:$E$307,'Raw Data'!$B$2:$B$307,A107)</f>
        <v/>
      </c>
      <c r="G107" s="5">
        <f>INDEX('Raw Data'!$A$2:$A$307,MATCH(1,INDEX(('Raw Data'!$B$2:$B$307=A107)*('Raw Data'!$E$2:$E$307=F107),0),0))</f>
        <v/>
      </c>
      <c r="H107" s="7">
        <f>F107-D107</f>
        <v/>
      </c>
      <c r="I107" s="5">
        <f>COUNTIF('Raw Data'!$B$2:$B$307,A107)</f>
        <v/>
      </c>
    </row>
    <row r="108">
      <c r="A108" s="5" t="n">
        <v>60499</v>
      </c>
      <c r="B108" s="6">
        <f>INDEX('Raw Data'!$D$2:$D$307,MATCH(A108,'Raw Data'!$B$2:$B$307,0))</f>
        <v/>
      </c>
      <c r="C108" s="5">
        <f>INDEX('Raw Data'!$C$2:$C$307,MATCH(A108,'Raw Data'!$B$2:$B$307,0))</f>
        <v/>
      </c>
      <c r="D108" s="7">
        <f>_xlfn.MINIFS('Raw Data'!$E$2:$E$307,'Raw Data'!$B$2:$B$307,A108)</f>
        <v/>
      </c>
      <c r="E108" s="5">
        <f>INDEX('Raw Data'!$A$2:$A$307,MATCH(1,INDEX(('Raw Data'!$B$2:$B$307=A108)*('Raw Data'!$E$2:$E$307=D108),0),0))</f>
        <v/>
      </c>
      <c r="F108" s="7">
        <f>_xlfn.MAXIFS('Raw Data'!$E$2:$E$307,'Raw Data'!$B$2:$B$307,A108)</f>
        <v/>
      </c>
      <c r="G108" s="5">
        <f>INDEX('Raw Data'!$A$2:$A$307,MATCH(1,INDEX(('Raw Data'!$B$2:$B$307=A108)*('Raw Data'!$E$2:$E$307=F108),0),0))</f>
        <v/>
      </c>
      <c r="H108" s="7">
        <f>F108-D108</f>
        <v/>
      </c>
      <c r="I108" s="5">
        <f>COUNTIF('Raw Data'!$B$2:$B$307,A108)</f>
        <v/>
      </c>
    </row>
    <row r="109">
      <c r="A109" s="5" t="n">
        <v>60500</v>
      </c>
      <c r="B109" s="6">
        <f>INDEX('Raw Data'!$D$2:$D$307,MATCH(A109,'Raw Data'!$B$2:$B$307,0))</f>
        <v/>
      </c>
      <c r="C109" s="5">
        <f>INDEX('Raw Data'!$C$2:$C$307,MATCH(A109,'Raw Data'!$B$2:$B$307,0))</f>
        <v/>
      </c>
      <c r="D109" s="7">
        <f>_xlfn.MINIFS('Raw Data'!$E$2:$E$307,'Raw Data'!$B$2:$B$307,A109)</f>
        <v/>
      </c>
      <c r="E109" s="5">
        <f>INDEX('Raw Data'!$A$2:$A$307,MATCH(1,INDEX(('Raw Data'!$B$2:$B$307=A109)*('Raw Data'!$E$2:$E$307=D109),0),0))</f>
        <v/>
      </c>
      <c r="F109" s="7">
        <f>_xlfn.MAXIFS('Raw Data'!$E$2:$E$307,'Raw Data'!$B$2:$B$307,A109)</f>
        <v/>
      </c>
      <c r="G109" s="5">
        <f>INDEX('Raw Data'!$A$2:$A$307,MATCH(1,INDEX(('Raw Data'!$B$2:$B$307=A109)*('Raw Data'!$E$2:$E$307=F109),0),0))</f>
        <v/>
      </c>
      <c r="H109" s="7">
        <f>F109-D109</f>
        <v/>
      </c>
      <c r="I109" s="5">
        <f>COUNTIF('Raw Data'!$B$2:$B$307,A109)</f>
        <v/>
      </c>
    </row>
    <row r="110">
      <c r="A110" s="5" t="n">
        <v>60501</v>
      </c>
      <c r="B110" s="6">
        <f>INDEX('Raw Data'!$D$2:$D$307,MATCH(A110,'Raw Data'!$B$2:$B$307,0))</f>
        <v/>
      </c>
      <c r="C110" s="5">
        <f>INDEX('Raw Data'!$C$2:$C$307,MATCH(A110,'Raw Data'!$B$2:$B$307,0))</f>
        <v/>
      </c>
      <c r="D110" s="7">
        <f>_xlfn.MINIFS('Raw Data'!$E$2:$E$307,'Raw Data'!$B$2:$B$307,A110)</f>
        <v/>
      </c>
      <c r="E110" s="5">
        <f>INDEX('Raw Data'!$A$2:$A$307,MATCH(1,INDEX(('Raw Data'!$B$2:$B$307=A110)*('Raw Data'!$E$2:$E$307=D110),0),0))</f>
        <v/>
      </c>
      <c r="F110" s="7">
        <f>_xlfn.MAXIFS('Raw Data'!$E$2:$E$307,'Raw Data'!$B$2:$B$307,A110)</f>
        <v/>
      </c>
      <c r="G110" s="5">
        <f>INDEX('Raw Data'!$A$2:$A$307,MATCH(1,INDEX(('Raw Data'!$B$2:$B$307=A110)*('Raw Data'!$E$2:$E$307=F110),0),0))</f>
        <v/>
      </c>
      <c r="H110" s="7">
        <f>F110-D110</f>
        <v/>
      </c>
      <c r="I110" s="5">
        <f>COUNTIF('Raw Data'!$B$2:$B$307,A110)</f>
        <v/>
      </c>
    </row>
    <row r="111">
      <c r="A111" s="5" t="n">
        <v>60502</v>
      </c>
      <c r="B111" s="6">
        <f>INDEX('Raw Data'!$D$2:$D$307,MATCH(A111,'Raw Data'!$B$2:$B$307,0))</f>
        <v/>
      </c>
      <c r="C111" s="5">
        <f>INDEX('Raw Data'!$C$2:$C$307,MATCH(A111,'Raw Data'!$B$2:$B$307,0))</f>
        <v/>
      </c>
      <c r="D111" s="7">
        <f>_xlfn.MINIFS('Raw Data'!$E$2:$E$307,'Raw Data'!$B$2:$B$307,A111)</f>
        <v/>
      </c>
      <c r="E111" s="5">
        <f>INDEX('Raw Data'!$A$2:$A$307,MATCH(1,INDEX(('Raw Data'!$B$2:$B$307=A111)*('Raw Data'!$E$2:$E$307=D111),0),0))</f>
        <v/>
      </c>
      <c r="F111" s="7">
        <f>_xlfn.MAXIFS('Raw Data'!$E$2:$E$307,'Raw Data'!$B$2:$B$307,A111)</f>
        <v/>
      </c>
      <c r="G111" s="5">
        <f>INDEX('Raw Data'!$A$2:$A$307,MATCH(1,INDEX(('Raw Data'!$B$2:$B$307=A111)*('Raw Data'!$E$2:$E$307=F111),0),0))</f>
        <v/>
      </c>
      <c r="H111" s="7">
        <f>F111-D111</f>
        <v/>
      </c>
      <c r="I111" s="5">
        <f>COUNTIF('Raw Data'!$B$2:$B$307,A111)</f>
        <v/>
      </c>
    </row>
    <row r="112">
      <c r="A112" s="5" t="n">
        <v>60503</v>
      </c>
      <c r="B112" s="6">
        <f>INDEX('Raw Data'!$D$2:$D$307,MATCH(A112,'Raw Data'!$B$2:$B$307,0))</f>
        <v/>
      </c>
      <c r="C112" s="5">
        <f>INDEX('Raw Data'!$C$2:$C$307,MATCH(A112,'Raw Data'!$B$2:$B$307,0))</f>
        <v/>
      </c>
      <c r="D112" s="7">
        <f>_xlfn.MINIFS('Raw Data'!$E$2:$E$307,'Raw Data'!$B$2:$B$307,A112)</f>
        <v/>
      </c>
      <c r="E112" s="5">
        <f>INDEX('Raw Data'!$A$2:$A$307,MATCH(1,INDEX(('Raw Data'!$B$2:$B$307=A112)*('Raw Data'!$E$2:$E$307=D112),0),0))</f>
        <v/>
      </c>
      <c r="F112" s="7">
        <f>_xlfn.MAXIFS('Raw Data'!$E$2:$E$307,'Raw Data'!$B$2:$B$307,A112)</f>
        <v/>
      </c>
      <c r="G112" s="5">
        <f>INDEX('Raw Data'!$A$2:$A$307,MATCH(1,INDEX(('Raw Data'!$B$2:$B$307=A112)*('Raw Data'!$E$2:$E$307=F112),0),0))</f>
        <v/>
      </c>
      <c r="H112" s="7">
        <f>F112-D112</f>
        <v/>
      </c>
      <c r="I112" s="5">
        <f>COUNTIF('Raw Data'!$B$2:$B$307,A112)</f>
        <v/>
      </c>
    </row>
    <row r="113">
      <c r="A113" s="5" t="n">
        <v>60504</v>
      </c>
      <c r="B113" s="6">
        <f>INDEX('Raw Data'!$D$2:$D$307,MATCH(A113,'Raw Data'!$B$2:$B$307,0))</f>
        <v/>
      </c>
      <c r="C113" s="5">
        <f>INDEX('Raw Data'!$C$2:$C$307,MATCH(A113,'Raw Data'!$B$2:$B$307,0))</f>
        <v/>
      </c>
      <c r="D113" s="7">
        <f>_xlfn.MINIFS('Raw Data'!$E$2:$E$307,'Raw Data'!$B$2:$B$307,A113)</f>
        <v/>
      </c>
      <c r="E113" s="5">
        <f>INDEX('Raw Data'!$A$2:$A$307,MATCH(1,INDEX(('Raw Data'!$B$2:$B$307=A113)*('Raw Data'!$E$2:$E$307=D113),0),0))</f>
        <v/>
      </c>
      <c r="F113" s="7">
        <f>_xlfn.MAXIFS('Raw Data'!$E$2:$E$307,'Raw Data'!$B$2:$B$307,A113)</f>
        <v/>
      </c>
      <c r="G113" s="5">
        <f>INDEX('Raw Data'!$A$2:$A$307,MATCH(1,INDEX(('Raw Data'!$B$2:$B$307=A113)*('Raw Data'!$E$2:$E$307=F113),0),0))</f>
        <v/>
      </c>
      <c r="H113" s="7">
        <f>F113-D113</f>
        <v/>
      </c>
      <c r="I113" s="5">
        <f>COUNTIF('Raw Data'!$B$2:$B$307,A113)</f>
        <v/>
      </c>
    </row>
    <row r="114">
      <c r="A114" s="5" t="n">
        <v>60505</v>
      </c>
      <c r="B114" s="6">
        <f>INDEX('Raw Data'!$D$2:$D$307,MATCH(A114,'Raw Data'!$B$2:$B$307,0))</f>
        <v/>
      </c>
      <c r="C114" s="5">
        <f>INDEX('Raw Data'!$C$2:$C$307,MATCH(A114,'Raw Data'!$B$2:$B$307,0))</f>
        <v/>
      </c>
      <c r="D114" s="7">
        <f>_xlfn.MINIFS('Raw Data'!$E$2:$E$307,'Raw Data'!$B$2:$B$307,A114)</f>
        <v/>
      </c>
      <c r="E114" s="5">
        <f>INDEX('Raw Data'!$A$2:$A$307,MATCH(1,INDEX(('Raw Data'!$B$2:$B$307=A114)*('Raw Data'!$E$2:$E$307=D114),0),0))</f>
        <v/>
      </c>
      <c r="F114" s="7">
        <f>_xlfn.MAXIFS('Raw Data'!$E$2:$E$307,'Raw Data'!$B$2:$B$307,A114)</f>
        <v/>
      </c>
      <c r="G114" s="5">
        <f>INDEX('Raw Data'!$A$2:$A$307,MATCH(1,INDEX(('Raw Data'!$B$2:$B$307=A114)*('Raw Data'!$E$2:$E$307=F114),0),0))</f>
        <v/>
      </c>
      <c r="H114" s="7">
        <f>F114-D114</f>
        <v/>
      </c>
      <c r="I114" s="5">
        <f>COUNTIF('Raw Data'!$B$2:$B$307,A114)</f>
        <v/>
      </c>
    </row>
    <row r="115">
      <c r="A115" s="5" t="n">
        <v>60506</v>
      </c>
      <c r="B115" s="6">
        <f>INDEX('Raw Data'!$D$2:$D$307,MATCH(A115,'Raw Data'!$B$2:$B$307,0))</f>
        <v/>
      </c>
      <c r="C115" s="5">
        <f>INDEX('Raw Data'!$C$2:$C$307,MATCH(A115,'Raw Data'!$B$2:$B$307,0))</f>
        <v/>
      </c>
      <c r="D115" s="7">
        <f>_xlfn.MINIFS('Raw Data'!$E$2:$E$307,'Raw Data'!$B$2:$B$307,A115)</f>
        <v/>
      </c>
      <c r="E115" s="5">
        <f>INDEX('Raw Data'!$A$2:$A$307,MATCH(1,INDEX(('Raw Data'!$B$2:$B$307=A115)*('Raw Data'!$E$2:$E$307=D115),0),0))</f>
        <v/>
      </c>
      <c r="F115" s="7">
        <f>_xlfn.MAXIFS('Raw Data'!$E$2:$E$307,'Raw Data'!$B$2:$B$307,A115)</f>
        <v/>
      </c>
      <c r="G115" s="5">
        <f>INDEX('Raw Data'!$A$2:$A$307,MATCH(1,INDEX(('Raw Data'!$B$2:$B$307=A115)*('Raw Data'!$E$2:$E$307=F115),0),0))</f>
        <v/>
      </c>
      <c r="H115" s="7">
        <f>F115-D115</f>
        <v/>
      </c>
      <c r="I115" s="5">
        <f>COUNTIF('Raw Data'!$B$2:$B$307,A115)</f>
        <v/>
      </c>
    </row>
    <row r="116">
      <c r="A116" s="5" t="n">
        <v>60508</v>
      </c>
      <c r="B116" s="6">
        <f>INDEX('Raw Data'!$D$2:$D$307,MATCH(A116,'Raw Data'!$B$2:$B$307,0))</f>
        <v/>
      </c>
      <c r="C116" s="5">
        <f>INDEX('Raw Data'!$C$2:$C$307,MATCH(A116,'Raw Data'!$B$2:$B$307,0))</f>
        <v/>
      </c>
      <c r="D116" s="7">
        <f>_xlfn.MINIFS('Raw Data'!$E$2:$E$307,'Raw Data'!$B$2:$B$307,A116)</f>
        <v/>
      </c>
      <c r="E116" s="5">
        <f>INDEX('Raw Data'!$A$2:$A$307,MATCH(1,INDEX(('Raw Data'!$B$2:$B$307=A116)*('Raw Data'!$E$2:$E$307=D116),0),0))</f>
        <v/>
      </c>
      <c r="F116" s="7">
        <f>_xlfn.MAXIFS('Raw Data'!$E$2:$E$307,'Raw Data'!$B$2:$B$307,A116)</f>
        <v/>
      </c>
      <c r="G116" s="5">
        <f>INDEX('Raw Data'!$A$2:$A$307,MATCH(1,INDEX(('Raw Data'!$B$2:$B$307=A116)*('Raw Data'!$E$2:$E$307=F116),0),0))</f>
        <v/>
      </c>
      <c r="H116" s="7">
        <f>F116-D116</f>
        <v/>
      </c>
      <c r="I116" s="5">
        <f>COUNTIF('Raw Data'!$B$2:$B$307,A116)</f>
        <v/>
      </c>
    </row>
    <row r="117">
      <c r="A117" s="5" t="n">
        <v>60509</v>
      </c>
      <c r="B117" s="6">
        <f>INDEX('Raw Data'!$D$2:$D$307,MATCH(A117,'Raw Data'!$B$2:$B$307,0))</f>
        <v/>
      </c>
      <c r="C117" s="5">
        <f>INDEX('Raw Data'!$C$2:$C$307,MATCH(A117,'Raw Data'!$B$2:$B$307,0))</f>
        <v/>
      </c>
      <c r="D117" s="7">
        <f>_xlfn.MINIFS('Raw Data'!$E$2:$E$307,'Raw Data'!$B$2:$B$307,A117)</f>
        <v/>
      </c>
      <c r="E117" s="5">
        <f>INDEX('Raw Data'!$A$2:$A$307,MATCH(1,INDEX(('Raw Data'!$B$2:$B$307=A117)*('Raw Data'!$E$2:$E$307=D117),0),0))</f>
        <v/>
      </c>
      <c r="F117" s="7">
        <f>_xlfn.MAXIFS('Raw Data'!$E$2:$E$307,'Raw Data'!$B$2:$B$307,A117)</f>
        <v/>
      </c>
      <c r="G117" s="5">
        <f>INDEX('Raw Data'!$A$2:$A$307,MATCH(1,INDEX(('Raw Data'!$B$2:$B$307=A117)*('Raw Data'!$E$2:$E$307=F117),0),0))</f>
        <v/>
      </c>
      <c r="H117" s="7">
        <f>F117-D117</f>
        <v/>
      </c>
      <c r="I117" s="5">
        <f>COUNTIF('Raw Data'!$B$2:$B$307,A117)</f>
        <v/>
      </c>
    </row>
    <row r="118">
      <c r="A118" s="5" t="n">
        <v>60510</v>
      </c>
      <c r="B118" s="6">
        <f>INDEX('Raw Data'!$D$2:$D$307,MATCH(A118,'Raw Data'!$B$2:$B$307,0))</f>
        <v/>
      </c>
      <c r="C118" s="5">
        <f>INDEX('Raw Data'!$C$2:$C$307,MATCH(A118,'Raw Data'!$B$2:$B$307,0))</f>
        <v/>
      </c>
      <c r="D118" s="7">
        <f>_xlfn.MINIFS('Raw Data'!$E$2:$E$307,'Raw Data'!$B$2:$B$307,A118)</f>
        <v/>
      </c>
      <c r="E118" s="5">
        <f>INDEX('Raw Data'!$A$2:$A$307,MATCH(1,INDEX(('Raw Data'!$B$2:$B$307=A118)*('Raw Data'!$E$2:$E$307=D118),0),0))</f>
        <v/>
      </c>
      <c r="F118" s="7">
        <f>_xlfn.MAXIFS('Raw Data'!$E$2:$E$307,'Raw Data'!$B$2:$B$307,A118)</f>
        <v/>
      </c>
      <c r="G118" s="5">
        <f>INDEX('Raw Data'!$A$2:$A$307,MATCH(1,INDEX(('Raw Data'!$B$2:$B$307=A118)*('Raw Data'!$E$2:$E$307=F118),0),0))</f>
        <v/>
      </c>
      <c r="H118" s="7">
        <f>F118-D118</f>
        <v/>
      </c>
      <c r="I118" s="5">
        <f>COUNTIF('Raw Data'!$B$2:$B$307,A118)</f>
        <v/>
      </c>
    </row>
    <row r="119">
      <c r="A119" s="5" t="n">
        <v>60511</v>
      </c>
      <c r="B119" s="6">
        <f>INDEX('Raw Data'!$D$2:$D$307,MATCH(A119,'Raw Data'!$B$2:$B$307,0))</f>
        <v/>
      </c>
      <c r="C119" s="5">
        <f>INDEX('Raw Data'!$C$2:$C$307,MATCH(A119,'Raw Data'!$B$2:$B$307,0))</f>
        <v/>
      </c>
      <c r="D119" s="7">
        <f>_xlfn.MINIFS('Raw Data'!$E$2:$E$307,'Raw Data'!$B$2:$B$307,A119)</f>
        <v/>
      </c>
      <c r="E119" s="5">
        <f>INDEX('Raw Data'!$A$2:$A$307,MATCH(1,INDEX(('Raw Data'!$B$2:$B$307=A119)*('Raw Data'!$E$2:$E$307=D119),0),0))</f>
        <v/>
      </c>
      <c r="F119" s="7">
        <f>_xlfn.MAXIFS('Raw Data'!$E$2:$E$307,'Raw Data'!$B$2:$B$307,A119)</f>
        <v/>
      </c>
      <c r="G119" s="5">
        <f>INDEX('Raw Data'!$A$2:$A$307,MATCH(1,INDEX(('Raw Data'!$B$2:$B$307=A119)*('Raw Data'!$E$2:$E$307=F119),0),0))</f>
        <v/>
      </c>
      <c r="H119" s="7">
        <f>F119-D119</f>
        <v/>
      </c>
      <c r="I119" s="5">
        <f>COUNTIF('Raw Data'!$B$2:$B$307,A119)</f>
        <v/>
      </c>
    </row>
    <row r="120">
      <c r="A120" s="5" t="n">
        <v>60512</v>
      </c>
      <c r="B120" s="6">
        <f>INDEX('Raw Data'!$D$2:$D$307,MATCH(A120,'Raw Data'!$B$2:$B$307,0))</f>
        <v/>
      </c>
      <c r="C120" s="5">
        <f>INDEX('Raw Data'!$C$2:$C$307,MATCH(A120,'Raw Data'!$B$2:$B$307,0))</f>
        <v/>
      </c>
      <c r="D120" s="7">
        <f>_xlfn.MINIFS('Raw Data'!$E$2:$E$307,'Raw Data'!$B$2:$B$307,A120)</f>
        <v/>
      </c>
      <c r="E120" s="5">
        <f>INDEX('Raw Data'!$A$2:$A$307,MATCH(1,INDEX(('Raw Data'!$B$2:$B$307=A120)*('Raw Data'!$E$2:$E$307=D120),0),0))</f>
        <v/>
      </c>
      <c r="F120" s="7">
        <f>_xlfn.MAXIFS('Raw Data'!$E$2:$E$307,'Raw Data'!$B$2:$B$307,A120)</f>
        <v/>
      </c>
      <c r="G120" s="5">
        <f>INDEX('Raw Data'!$A$2:$A$307,MATCH(1,INDEX(('Raw Data'!$B$2:$B$307=A120)*('Raw Data'!$E$2:$E$307=F120),0),0))</f>
        <v/>
      </c>
      <c r="H120" s="7">
        <f>F120-D120</f>
        <v/>
      </c>
      <c r="I120" s="5">
        <f>COUNTIF('Raw Data'!$B$2:$B$307,A120)</f>
        <v/>
      </c>
    </row>
    <row r="121">
      <c r="A121" s="5" t="n">
        <v>75192</v>
      </c>
      <c r="B121" s="6">
        <f>INDEX('Raw Data'!$D$2:$D$307,MATCH(A121,'Raw Data'!$B$2:$B$307,0))</f>
        <v/>
      </c>
      <c r="C121" s="5">
        <f>INDEX('Raw Data'!$C$2:$C$307,MATCH(A121,'Raw Data'!$B$2:$B$307,0))</f>
        <v/>
      </c>
      <c r="D121" s="7">
        <f>_xlfn.MINIFS('Raw Data'!$E$2:$E$307,'Raw Data'!$B$2:$B$307,A121)</f>
        <v/>
      </c>
      <c r="E121" s="5">
        <f>INDEX('Raw Data'!$A$2:$A$307,MATCH(1,INDEX(('Raw Data'!$B$2:$B$307=A121)*('Raw Data'!$E$2:$E$307=D121),0),0))</f>
        <v/>
      </c>
      <c r="F121" s="7">
        <f>_xlfn.MAXIFS('Raw Data'!$E$2:$E$307,'Raw Data'!$B$2:$B$307,A121)</f>
        <v/>
      </c>
      <c r="G121" s="5">
        <f>INDEX('Raw Data'!$A$2:$A$307,MATCH(1,INDEX(('Raw Data'!$B$2:$B$307=A121)*('Raw Data'!$E$2:$E$307=F121),0),0))</f>
        <v/>
      </c>
      <c r="H121" s="7">
        <f>F121-D121</f>
        <v/>
      </c>
      <c r="I121" s="5">
        <f>COUNTIF('Raw Data'!$B$2:$B$307,A121)</f>
        <v/>
      </c>
    </row>
    <row r="122">
      <c r="A122" s="5" t="n">
        <v>75325</v>
      </c>
      <c r="B122" s="6">
        <f>INDEX('Raw Data'!$D$2:$D$307,MATCH(A122,'Raw Data'!$B$2:$B$307,0))</f>
        <v/>
      </c>
      <c r="C122" s="5">
        <f>INDEX('Raw Data'!$C$2:$C$307,MATCH(A122,'Raw Data'!$B$2:$B$307,0))</f>
        <v/>
      </c>
      <c r="D122" s="7">
        <f>_xlfn.MINIFS('Raw Data'!$E$2:$E$307,'Raw Data'!$B$2:$B$307,A122)</f>
        <v/>
      </c>
      <c r="E122" s="5">
        <f>INDEX('Raw Data'!$A$2:$A$307,MATCH(1,INDEX(('Raw Data'!$B$2:$B$307=A122)*('Raw Data'!$E$2:$E$307=D122),0),0))</f>
        <v/>
      </c>
      <c r="F122" s="7">
        <f>_xlfn.MAXIFS('Raw Data'!$E$2:$E$307,'Raw Data'!$B$2:$B$307,A122)</f>
        <v/>
      </c>
      <c r="G122" s="5">
        <f>INDEX('Raw Data'!$A$2:$A$307,MATCH(1,INDEX(('Raw Data'!$B$2:$B$307=A122)*('Raw Data'!$E$2:$E$307=F122),0),0))</f>
        <v/>
      </c>
      <c r="H122" s="7">
        <f>F122-D122</f>
        <v/>
      </c>
      <c r="I122" s="5">
        <f>COUNTIF('Raw Data'!$B$2:$B$307,A122)</f>
        <v/>
      </c>
    </row>
    <row r="123">
      <c r="A123" s="5" t="n">
        <v>75331</v>
      </c>
      <c r="B123" s="6">
        <f>INDEX('Raw Data'!$D$2:$D$307,MATCH(A123,'Raw Data'!$B$2:$B$307,0))</f>
        <v/>
      </c>
      <c r="C123" s="5">
        <f>INDEX('Raw Data'!$C$2:$C$307,MATCH(A123,'Raw Data'!$B$2:$B$307,0))</f>
        <v/>
      </c>
      <c r="D123" s="7">
        <f>_xlfn.MINIFS('Raw Data'!$E$2:$E$307,'Raw Data'!$B$2:$B$307,A123)</f>
        <v/>
      </c>
      <c r="E123" s="5">
        <f>INDEX('Raw Data'!$A$2:$A$307,MATCH(1,INDEX(('Raw Data'!$B$2:$B$307=A123)*('Raw Data'!$E$2:$E$307=D123),0),0))</f>
        <v/>
      </c>
      <c r="F123" s="7">
        <f>_xlfn.MAXIFS('Raw Data'!$E$2:$E$307,'Raw Data'!$B$2:$B$307,A123)</f>
        <v/>
      </c>
      <c r="G123" s="5">
        <f>INDEX('Raw Data'!$A$2:$A$307,MATCH(1,INDEX(('Raw Data'!$B$2:$B$307=A123)*('Raw Data'!$E$2:$E$307=F123),0),0))</f>
        <v/>
      </c>
      <c r="H123" s="7">
        <f>F123-D123</f>
        <v/>
      </c>
      <c r="I123" s="5">
        <f>COUNTIF('Raw Data'!$B$2:$B$307,A123)</f>
        <v/>
      </c>
    </row>
    <row r="124">
      <c r="A124" s="5" t="n">
        <v>75333</v>
      </c>
      <c r="B124" s="6">
        <f>INDEX('Raw Data'!$D$2:$D$307,MATCH(A124,'Raw Data'!$B$2:$B$307,0))</f>
        <v/>
      </c>
      <c r="C124" s="5">
        <f>INDEX('Raw Data'!$C$2:$C$307,MATCH(A124,'Raw Data'!$B$2:$B$307,0))</f>
        <v/>
      </c>
      <c r="D124" s="7">
        <f>_xlfn.MINIFS('Raw Data'!$E$2:$E$307,'Raw Data'!$B$2:$B$307,A124)</f>
        <v/>
      </c>
      <c r="E124" s="5">
        <f>INDEX('Raw Data'!$A$2:$A$307,MATCH(1,INDEX(('Raw Data'!$B$2:$B$307=A124)*('Raw Data'!$E$2:$E$307=D124),0),0))</f>
        <v/>
      </c>
      <c r="F124" s="7">
        <f>_xlfn.MAXIFS('Raw Data'!$E$2:$E$307,'Raw Data'!$B$2:$B$307,A124)</f>
        <v/>
      </c>
      <c r="G124" s="5">
        <f>INDEX('Raw Data'!$A$2:$A$307,MATCH(1,INDEX(('Raw Data'!$B$2:$B$307=A124)*('Raw Data'!$E$2:$E$307=F124),0),0))</f>
        <v/>
      </c>
      <c r="H124" s="7">
        <f>F124-D124</f>
        <v/>
      </c>
      <c r="I124" s="5">
        <f>COUNTIF('Raw Data'!$B$2:$B$307,A124)</f>
        <v/>
      </c>
    </row>
    <row r="125">
      <c r="A125" s="5" t="n">
        <v>75345</v>
      </c>
      <c r="B125" s="6">
        <f>INDEX('Raw Data'!$D$2:$D$307,MATCH(A125,'Raw Data'!$B$2:$B$307,0))</f>
        <v/>
      </c>
      <c r="C125" s="5">
        <f>INDEX('Raw Data'!$C$2:$C$307,MATCH(A125,'Raw Data'!$B$2:$B$307,0))</f>
        <v/>
      </c>
      <c r="D125" s="7">
        <f>_xlfn.MINIFS('Raw Data'!$E$2:$E$307,'Raw Data'!$B$2:$B$307,A125)</f>
        <v/>
      </c>
      <c r="E125" s="5">
        <f>INDEX('Raw Data'!$A$2:$A$307,MATCH(1,INDEX(('Raw Data'!$B$2:$B$307=A125)*('Raw Data'!$E$2:$E$307=D125),0),0))</f>
        <v/>
      </c>
      <c r="F125" s="7">
        <f>_xlfn.MAXIFS('Raw Data'!$E$2:$E$307,'Raw Data'!$B$2:$B$307,A125)</f>
        <v/>
      </c>
      <c r="G125" s="5">
        <f>INDEX('Raw Data'!$A$2:$A$307,MATCH(1,INDEX(('Raw Data'!$B$2:$B$307=A125)*('Raw Data'!$E$2:$E$307=F125),0),0))</f>
        <v/>
      </c>
      <c r="H125" s="7">
        <f>F125-D125</f>
        <v/>
      </c>
      <c r="I125" s="5">
        <f>COUNTIF('Raw Data'!$B$2:$B$307,A125)</f>
        <v/>
      </c>
    </row>
    <row r="126">
      <c r="A126" s="5" t="n">
        <v>75347</v>
      </c>
      <c r="B126" s="6">
        <f>INDEX('Raw Data'!$D$2:$D$307,MATCH(A126,'Raw Data'!$B$2:$B$307,0))</f>
        <v/>
      </c>
      <c r="C126" s="5">
        <f>INDEX('Raw Data'!$C$2:$C$307,MATCH(A126,'Raw Data'!$B$2:$B$307,0))</f>
        <v/>
      </c>
      <c r="D126" s="7">
        <f>_xlfn.MINIFS('Raw Data'!$E$2:$E$307,'Raw Data'!$B$2:$B$307,A126)</f>
        <v/>
      </c>
      <c r="E126" s="5">
        <f>INDEX('Raw Data'!$A$2:$A$307,MATCH(1,INDEX(('Raw Data'!$B$2:$B$307=A126)*('Raw Data'!$E$2:$E$307=D126),0),0))</f>
        <v/>
      </c>
      <c r="F126" s="7">
        <f>_xlfn.MAXIFS('Raw Data'!$E$2:$E$307,'Raw Data'!$B$2:$B$307,A126)</f>
        <v/>
      </c>
      <c r="G126" s="5">
        <f>INDEX('Raw Data'!$A$2:$A$307,MATCH(1,INDEX(('Raw Data'!$B$2:$B$307=A126)*('Raw Data'!$E$2:$E$307=F126),0),0))</f>
        <v/>
      </c>
      <c r="H126" s="7">
        <f>F126-D126</f>
        <v/>
      </c>
      <c r="I126" s="5">
        <f>COUNTIF('Raw Data'!$B$2:$B$307,A126)</f>
        <v/>
      </c>
    </row>
    <row r="127">
      <c r="A127" s="5" t="n">
        <v>75349</v>
      </c>
      <c r="B127" s="6">
        <f>INDEX('Raw Data'!$D$2:$D$307,MATCH(A127,'Raw Data'!$B$2:$B$307,0))</f>
        <v/>
      </c>
      <c r="C127" s="5">
        <f>INDEX('Raw Data'!$C$2:$C$307,MATCH(A127,'Raw Data'!$B$2:$B$307,0))</f>
        <v/>
      </c>
      <c r="D127" s="7">
        <f>_xlfn.MINIFS('Raw Data'!$E$2:$E$307,'Raw Data'!$B$2:$B$307,A127)</f>
        <v/>
      </c>
      <c r="E127" s="5">
        <f>INDEX('Raw Data'!$A$2:$A$307,MATCH(1,INDEX(('Raw Data'!$B$2:$B$307=A127)*('Raw Data'!$E$2:$E$307=D127),0),0))</f>
        <v/>
      </c>
      <c r="F127" s="7">
        <f>_xlfn.MAXIFS('Raw Data'!$E$2:$E$307,'Raw Data'!$B$2:$B$307,A127)</f>
        <v/>
      </c>
      <c r="G127" s="5">
        <f>INDEX('Raw Data'!$A$2:$A$307,MATCH(1,INDEX(('Raw Data'!$B$2:$B$307=A127)*('Raw Data'!$E$2:$E$307=F127),0),0))</f>
        <v/>
      </c>
      <c r="H127" s="7">
        <f>F127-D127</f>
        <v/>
      </c>
      <c r="I127" s="5">
        <f>COUNTIF('Raw Data'!$B$2:$B$307,A127)</f>
        <v/>
      </c>
    </row>
    <row r="128">
      <c r="A128" s="5" t="n">
        <v>75373</v>
      </c>
      <c r="B128" s="6">
        <f>INDEX('Raw Data'!$D$2:$D$307,MATCH(A128,'Raw Data'!$B$2:$B$307,0))</f>
        <v/>
      </c>
      <c r="C128" s="5">
        <f>INDEX('Raw Data'!$C$2:$C$307,MATCH(A128,'Raw Data'!$B$2:$B$307,0))</f>
        <v/>
      </c>
      <c r="D128" s="7">
        <f>_xlfn.MINIFS('Raw Data'!$E$2:$E$307,'Raw Data'!$B$2:$B$307,A128)</f>
        <v/>
      </c>
      <c r="E128" s="5">
        <f>INDEX('Raw Data'!$A$2:$A$307,MATCH(1,INDEX(('Raw Data'!$B$2:$B$307=A128)*('Raw Data'!$E$2:$E$307=D128),0),0))</f>
        <v/>
      </c>
      <c r="F128" s="7">
        <f>_xlfn.MAXIFS('Raw Data'!$E$2:$E$307,'Raw Data'!$B$2:$B$307,A128)</f>
        <v/>
      </c>
      <c r="G128" s="5">
        <f>INDEX('Raw Data'!$A$2:$A$307,MATCH(1,INDEX(('Raw Data'!$B$2:$B$307=A128)*('Raw Data'!$E$2:$E$307=F128),0),0))</f>
        <v/>
      </c>
      <c r="H128" s="7">
        <f>F128-D128</f>
        <v/>
      </c>
      <c r="I128" s="5">
        <f>COUNTIF('Raw Data'!$B$2:$B$307,A128)</f>
        <v/>
      </c>
    </row>
    <row r="129">
      <c r="A129" s="5" t="n">
        <v>75383</v>
      </c>
      <c r="B129" s="6">
        <f>INDEX('Raw Data'!$D$2:$D$307,MATCH(A129,'Raw Data'!$B$2:$B$307,0))</f>
        <v/>
      </c>
      <c r="C129" s="5">
        <f>INDEX('Raw Data'!$C$2:$C$307,MATCH(A129,'Raw Data'!$B$2:$B$307,0))</f>
        <v/>
      </c>
      <c r="D129" s="7">
        <f>_xlfn.MINIFS('Raw Data'!$E$2:$E$307,'Raw Data'!$B$2:$B$307,A129)</f>
        <v/>
      </c>
      <c r="E129" s="5">
        <f>INDEX('Raw Data'!$A$2:$A$307,MATCH(1,INDEX(('Raw Data'!$B$2:$B$307=A129)*('Raw Data'!$E$2:$E$307=D129),0),0))</f>
        <v/>
      </c>
      <c r="F129" s="7">
        <f>_xlfn.MAXIFS('Raw Data'!$E$2:$E$307,'Raw Data'!$B$2:$B$307,A129)</f>
        <v/>
      </c>
      <c r="G129" s="5">
        <f>INDEX('Raw Data'!$A$2:$A$307,MATCH(1,INDEX(('Raw Data'!$B$2:$B$307=A129)*('Raw Data'!$E$2:$E$307=F129),0),0))</f>
        <v/>
      </c>
      <c r="H129" s="7">
        <f>F129-D129</f>
        <v/>
      </c>
      <c r="I129" s="5">
        <f>COUNTIF('Raw Data'!$B$2:$B$307,A129)</f>
        <v/>
      </c>
    </row>
    <row r="130">
      <c r="A130" s="5" t="n">
        <v>75397</v>
      </c>
      <c r="B130" s="6">
        <f>INDEX('Raw Data'!$D$2:$D$307,MATCH(A130,'Raw Data'!$B$2:$B$307,0))</f>
        <v/>
      </c>
      <c r="C130" s="5">
        <f>INDEX('Raw Data'!$C$2:$C$307,MATCH(A130,'Raw Data'!$B$2:$B$307,0))</f>
        <v/>
      </c>
      <c r="D130" s="7">
        <f>_xlfn.MINIFS('Raw Data'!$E$2:$E$307,'Raw Data'!$B$2:$B$307,A130)</f>
        <v/>
      </c>
      <c r="E130" s="5">
        <f>INDEX('Raw Data'!$A$2:$A$307,MATCH(1,INDEX(('Raw Data'!$B$2:$B$307=A130)*('Raw Data'!$E$2:$E$307=D130),0),0))</f>
        <v/>
      </c>
      <c r="F130" s="7">
        <f>_xlfn.MAXIFS('Raw Data'!$E$2:$E$307,'Raw Data'!$B$2:$B$307,A130)</f>
        <v/>
      </c>
      <c r="G130" s="5">
        <f>INDEX('Raw Data'!$A$2:$A$307,MATCH(1,INDEX(('Raw Data'!$B$2:$B$307=A130)*('Raw Data'!$E$2:$E$307=F130),0),0))</f>
        <v/>
      </c>
      <c r="H130" s="7">
        <f>F130-D130</f>
        <v/>
      </c>
      <c r="I130" s="5">
        <f>COUNTIF('Raw Data'!$B$2:$B$307,A130)</f>
        <v/>
      </c>
    </row>
    <row r="131">
      <c r="A131" s="5" t="n">
        <v>75400</v>
      </c>
      <c r="B131" s="6">
        <f>INDEX('Raw Data'!$D$2:$D$307,MATCH(A131,'Raw Data'!$B$2:$B$307,0))</f>
        <v/>
      </c>
      <c r="C131" s="5">
        <f>INDEX('Raw Data'!$C$2:$C$307,MATCH(A131,'Raw Data'!$B$2:$B$307,0))</f>
        <v/>
      </c>
      <c r="D131" s="7">
        <f>_xlfn.MINIFS('Raw Data'!$E$2:$E$307,'Raw Data'!$B$2:$B$307,A131)</f>
        <v/>
      </c>
      <c r="E131" s="5">
        <f>INDEX('Raw Data'!$A$2:$A$307,MATCH(1,INDEX(('Raw Data'!$B$2:$B$307=A131)*('Raw Data'!$E$2:$E$307=D131),0),0))</f>
        <v/>
      </c>
      <c r="F131" s="7">
        <f>_xlfn.MAXIFS('Raw Data'!$E$2:$E$307,'Raw Data'!$B$2:$B$307,A131)</f>
        <v/>
      </c>
      <c r="G131" s="5">
        <f>INDEX('Raw Data'!$A$2:$A$307,MATCH(1,INDEX(('Raw Data'!$B$2:$B$307=A131)*('Raw Data'!$E$2:$E$307=F131),0),0))</f>
        <v/>
      </c>
      <c r="H131" s="7">
        <f>F131-D131</f>
        <v/>
      </c>
      <c r="I131" s="5">
        <f>COUNTIF('Raw Data'!$B$2:$B$307,A131)</f>
        <v/>
      </c>
    </row>
    <row r="132">
      <c r="A132" s="5" t="n">
        <v>75401</v>
      </c>
      <c r="B132" s="6">
        <f>INDEX('Raw Data'!$D$2:$D$307,MATCH(A132,'Raw Data'!$B$2:$B$307,0))</f>
        <v/>
      </c>
      <c r="C132" s="5">
        <f>INDEX('Raw Data'!$C$2:$C$307,MATCH(A132,'Raw Data'!$B$2:$B$307,0))</f>
        <v/>
      </c>
      <c r="D132" s="7">
        <f>_xlfn.MINIFS('Raw Data'!$E$2:$E$307,'Raw Data'!$B$2:$B$307,A132)</f>
        <v/>
      </c>
      <c r="E132" s="5">
        <f>INDEX('Raw Data'!$A$2:$A$307,MATCH(1,INDEX(('Raw Data'!$B$2:$B$307=A132)*('Raw Data'!$E$2:$E$307=D132),0),0))</f>
        <v/>
      </c>
      <c r="F132" s="7">
        <f>_xlfn.MAXIFS('Raw Data'!$E$2:$E$307,'Raw Data'!$B$2:$B$307,A132)</f>
        <v/>
      </c>
      <c r="G132" s="5">
        <f>INDEX('Raw Data'!$A$2:$A$307,MATCH(1,INDEX(('Raw Data'!$B$2:$B$307=A132)*('Raw Data'!$E$2:$E$307=F132),0),0))</f>
        <v/>
      </c>
      <c r="H132" s="7">
        <f>F132-D132</f>
        <v/>
      </c>
      <c r="I132" s="5">
        <f>COUNTIF('Raw Data'!$B$2:$B$307,A132)</f>
        <v/>
      </c>
    </row>
    <row r="133">
      <c r="A133" s="5" t="n">
        <v>75403</v>
      </c>
      <c r="B133" s="6">
        <f>INDEX('Raw Data'!$D$2:$D$307,MATCH(A133,'Raw Data'!$B$2:$B$307,0))</f>
        <v/>
      </c>
      <c r="C133" s="5">
        <f>INDEX('Raw Data'!$C$2:$C$307,MATCH(A133,'Raw Data'!$B$2:$B$307,0))</f>
        <v/>
      </c>
      <c r="D133" s="7">
        <f>_xlfn.MINIFS('Raw Data'!$E$2:$E$307,'Raw Data'!$B$2:$B$307,A133)</f>
        <v/>
      </c>
      <c r="E133" s="5">
        <f>INDEX('Raw Data'!$A$2:$A$307,MATCH(1,INDEX(('Raw Data'!$B$2:$B$307=A133)*('Raw Data'!$E$2:$E$307=D133),0),0))</f>
        <v/>
      </c>
      <c r="F133" s="7">
        <f>_xlfn.MAXIFS('Raw Data'!$E$2:$E$307,'Raw Data'!$B$2:$B$307,A133)</f>
        <v/>
      </c>
      <c r="G133" s="5">
        <f>INDEX('Raw Data'!$A$2:$A$307,MATCH(1,INDEX(('Raw Data'!$B$2:$B$307=A133)*('Raw Data'!$E$2:$E$307=F133),0),0))</f>
        <v/>
      </c>
      <c r="H133" s="7">
        <f>F133-D133</f>
        <v/>
      </c>
      <c r="I133" s="5">
        <f>COUNTIF('Raw Data'!$B$2:$B$307,A133)</f>
        <v/>
      </c>
    </row>
    <row r="134">
      <c r="A134" s="5" t="n">
        <v>75404</v>
      </c>
      <c r="B134" s="6">
        <f>INDEX('Raw Data'!$D$2:$D$307,MATCH(A134,'Raw Data'!$B$2:$B$307,0))</f>
        <v/>
      </c>
      <c r="C134" s="5">
        <f>INDEX('Raw Data'!$C$2:$C$307,MATCH(A134,'Raw Data'!$B$2:$B$307,0))</f>
        <v/>
      </c>
      <c r="D134" s="7">
        <f>_xlfn.MINIFS('Raw Data'!$E$2:$E$307,'Raw Data'!$B$2:$B$307,A134)</f>
        <v/>
      </c>
      <c r="E134" s="5">
        <f>INDEX('Raw Data'!$A$2:$A$307,MATCH(1,INDEX(('Raw Data'!$B$2:$B$307=A134)*('Raw Data'!$E$2:$E$307=D134),0),0))</f>
        <v/>
      </c>
      <c r="F134" s="7">
        <f>_xlfn.MAXIFS('Raw Data'!$E$2:$E$307,'Raw Data'!$B$2:$B$307,A134)</f>
        <v/>
      </c>
      <c r="G134" s="5">
        <f>INDEX('Raw Data'!$A$2:$A$307,MATCH(1,INDEX(('Raw Data'!$B$2:$B$307=A134)*('Raw Data'!$E$2:$E$307=F134),0),0))</f>
        <v/>
      </c>
      <c r="H134" s="7">
        <f>F134-D134</f>
        <v/>
      </c>
      <c r="I134" s="5">
        <f>COUNTIF('Raw Data'!$B$2:$B$307,A134)</f>
        <v/>
      </c>
    </row>
    <row r="135">
      <c r="A135" s="5" t="n">
        <v>75428</v>
      </c>
      <c r="B135" s="6">
        <f>INDEX('Raw Data'!$D$2:$D$307,MATCH(A135,'Raw Data'!$B$2:$B$307,0))</f>
        <v/>
      </c>
      <c r="C135" s="5">
        <f>INDEX('Raw Data'!$C$2:$C$307,MATCH(A135,'Raw Data'!$B$2:$B$307,0))</f>
        <v/>
      </c>
      <c r="D135" s="7">
        <f>_xlfn.MINIFS('Raw Data'!$E$2:$E$307,'Raw Data'!$B$2:$B$307,A135)</f>
        <v/>
      </c>
      <c r="E135" s="5">
        <f>INDEX('Raw Data'!$A$2:$A$307,MATCH(1,INDEX(('Raw Data'!$B$2:$B$307=A135)*('Raw Data'!$E$2:$E$307=D135),0),0))</f>
        <v/>
      </c>
      <c r="F135" s="7">
        <f>_xlfn.MAXIFS('Raw Data'!$E$2:$E$307,'Raw Data'!$B$2:$B$307,A135)</f>
        <v/>
      </c>
      <c r="G135" s="5">
        <f>INDEX('Raw Data'!$A$2:$A$307,MATCH(1,INDEX(('Raw Data'!$B$2:$B$307=A135)*('Raw Data'!$E$2:$E$307=F135),0),0))</f>
        <v/>
      </c>
      <c r="H135" s="7">
        <f>F135-D135</f>
        <v/>
      </c>
      <c r="I135" s="5">
        <f>COUNTIF('Raw Data'!$B$2:$B$307,A135)</f>
        <v/>
      </c>
    </row>
    <row r="136">
      <c r="A136" s="5" t="n">
        <v>75429</v>
      </c>
      <c r="B136" s="6">
        <f>INDEX('Raw Data'!$D$2:$D$307,MATCH(A136,'Raw Data'!$B$2:$B$307,0))</f>
        <v/>
      </c>
      <c r="C136" s="5">
        <f>INDEX('Raw Data'!$C$2:$C$307,MATCH(A136,'Raw Data'!$B$2:$B$307,0))</f>
        <v/>
      </c>
      <c r="D136" s="7">
        <f>_xlfn.MINIFS('Raw Data'!$E$2:$E$307,'Raw Data'!$B$2:$B$307,A136)</f>
        <v/>
      </c>
      <c r="E136" s="5">
        <f>INDEX('Raw Data'!$A$2:$A$307,MATCH(1,INDEX(('Raw Data'!$B$2:$B$307=A136)*('Raw Data'!$E$2:$E$307=D136),0),0))</f>
        <v/>
      </c>
      <c r="F136" s="7">
        <f>_xlfn.MAXIFS('Raw Data'!$E$2:$E$307,'Raw Data'!$B$2:$B$307,A136)</f>
        <v/>
      </c>
      <c r="G136" s="5">
        <f>INDEX('Raw Data'!$A$2:$A$307,MATCH(1,INDEX(('Raw Data'!$B$2:$B$307=A136)*('Raw Data'!$E$2:$E$307=F136),0),0))</f>
        <v/>
      </c>
      <c r="H136" s="7">
        <f>F136-D136</f>
        <v/>
      </c>
      <c r="I136" s="5">
        <f>COUNTIF('Raw Data'!$B$2:$B$307,A136)</f>
        <v/>
      </c>
    </row>
    <row r="137">
      <c r="A137" s="5" t="n">
        <v>75430</v>
      </c>
      <c r="B137" s="6">
        <f>INDEX('Raw Data'!$D$2:$D$307,MATCH(A137,'Raw Data'!$B$2:$B$307,0))</f>
        <v/>
      </c>
      <c r="C137" s="5">
        <f>INDEX('Raw Data'!$C$2:$C$307,MATCH(A137,'Raw Data'!$B$2:$B$307,0))</f>
        <v/>
      </c>
      <c r="D137" s="7">
        <f>_xlfn.MINIFS('Raw Data'!$E$2:$E$307,'Raw Data'!$B$2:$B$307,A137)</f>
        <v/>
      </c>
      <c r="E137" s="5">
        <f>INDEX('Raw Data'!$A$2:$A$307,MATCH(1,INDEX(('Raw Data'!$B$2:$B$307=A137)*('Raw Data'!$E$2:$E$307=D137),0),0))</f>
        <v/>
      </c>
      <c r="F137" s="7">
        <f>_xlfn.MAXIFS('Raw Data'!$E$2:$E$307,'Raw Data'!$B$2:$B$307,A137)</f>
        <v/>
      </c>
      <c r="G137" s="5">
        <f>INDEX('Raw Data'!$A$2:$A$307,MATCH(1,INDEX(('Raw Data'!$B$2:$B$307=A137)*('Raw Data'!$E$2:$E$307=F137),0),0))</f>
        <v/>
      </c>
      <c r="H137" s="7">
        <f>F137-D137</f>
        <v/>
      </c>
      <c r="I137" s="5">
        <f>COUNTIF('Raw Data'!$B$2:$B$307,A137)</f>
        <v/>
      </c>
    </row>
    <row r="138">
      <c r="A138" s="5" t="n">
        <v>75431</v>
      </c>
      <c r="B138" s="6">
        <f>INDEX('Raw Data'!$D$2:$D$307,MATCH(A138,'Raw Data'!$B$2:$B$307,0))</f>
        <v/>
      </c>
      <c r="C138" s="5">
        <f>INDEX('Raw Data'!$C$2:$C$307,MATCH(A138,'Raw Data'!$B$2:$B$307,0))</f>
        <v/>
      </c>
      <c r="D138" s="7">
        <f>_xlfn.MINIFS('Raw Data'!$E$2:$E$307,'Raw Data'!$B$2:$B$307,A138)</f>
        <v/>
      </c>
      <c r="E138" s="5">
        <f>INDEX('Raw Data'!$A$2:$A$307,MATCH(1,INDEX(('Raw Data'!$B$2:$B$307=A138)*('Raw Data'!$E$2:$E$307=D138),0),0))</f>
        <v/>
      </c>
      <c r="F138" s="7">
        <f>_xlfn.MAXIFS('Raw Data'!$E$2:$E$307,'Raw Data'!$B$2:$B$307,A138)</f>
        <v/>
      </c>
      <c r="G138" s="5">
        <f>INDEX('Raw Data'!$A$2:$A$307,MATCH(1,INDEX(('Raw Data'!$B$2:$B$307=A138)*('Raw Data'!$E$2:$E$307=F138),0),0))</f>
        <v/>
      </c>
      <c r="H138" s="7">
        <f>F138-D138</f>
        <v/>
      </c>
      <c r="I138" s="5">
        <f>COUNTIF('Raw Data'!$B$2:$B$307,A138)</f>
        <v/>
      </c>
    </row>
    <row r="139">
      <c r="A139" s="5" t="n">
        <v>75432</v>
      </c>
      <c r="B139" s="6">
        <f>INDEX('Raw Data'!$D$2:$D$307,MATCH(A139,'Raw Data'!$B$2:$B$307,0))</f>
        <v/>
      </c>
      <c r="C139" s="5">
        <f>INDEX('Raw Data'!$C$2:$C$307,MATCH(A139,'Raw Data'!$B$2:$B$307,0))</f>
        <v/>
      </c>
      <c r="D139" s="7">
        <f>_xlfn.MINIFS('Raw Data'!$E$2:$E$307,'Raw Data'!$B$2:$B$307,A139)</f>
        <v/>
      </c>
      <c r="E139" s="5">
        <f>INDEX('Raw Data'!$A$2:$A$307,MATCH(1,INDEX(('Raw Data'!$B$2:$B$307=A139)*('Raw Data'!$E$2:$E$307=D139),0),0))</f>
        <v/>
      </c>
      <c r="F139" s="7">
        <f>_xlfn.MAXIFS('Raw Data'!$E$2:$E$307,'Raw Data'!$B$2:$B$307,A139)</f>
        <v/>
      </c>
      <c r="G139" s="5">
        <f>INDEX('Raw Data'!$A$2:$A$307,MATCH(1,INDEX(('Raw Data'!$B$2:$B$307=A139)*('Raw Data'!$E$2:$E$307=F139),0),0))</f>
        <v/>
      </c>
      <c r="H139" s="7">
        <f>F139-D139</f>
        <v/>
      </c>
      <c r="I139" s="5">
        <f>COUNTIF('Raw Data'!$B$2:$B$307,A139)</f>
        <v/>
      </c>
    </row>
    <row r="140">
      <c r="A140" s="5" t="n">
        <v>75433</v>
      </c>
      <c r="B140" s="6">
        <f>INDEX('Raw Data'!$D$2:$D$307,MATCH(A140,'Raw Data'!$B$2:$B$307,0))</f>
        <v/>
      </c>
      <c r="C140" s="5">
        <f>INDEX('Raw Data'!$C$2:$C$307,MATCH(A140,'Raw Data'!$B$2:$B$307,0))</f>
        <v/>
      </c>
      <c r="D140" s="7">
        <f>_xlfn.MINIFS('Raw Data'!$E$2:$E$307,'Raw Data'!$B$2:$B$307,A140)</f>
        <v/>
      </c>
      <c r="E140" s="5">
        <f>INDEX('Raw Data'!$A$2:$A$307,MATCH(1,INDEX(('Raw Data'!$B$2:$B$307=A140)*('Raw Data'!$E$2:$E$307=D140),0),0))</f>
        <v/>
      </c>
      <c r="F140" s="7">
        <f>_xlfn.MAXIFS('Raw Data'!$E$2:$E$307,'Raw Data'!$B$2:$B$307,A140)</f>
        <v/>
      </c>
      <c r="G140" s="5">
        <f>INDEX('Raw Data'!$A$2:$A$307,MATCH(1,INDEX(('Raw Data'!$B$2:$B$307=A140)*('Raw Data'!$E$2:$E$307=F140),0),0))</f>
        <v/>
      </c>
      <c r="H140" s="7">
        <f>F140-D140</f>
        <v/>
      </c>
      <c r="I140" s="5">
        <f>COUNTIF('Raw Data'!$B$2:$B$307,A140)</f>
        <v/>
      </c>
    </row>
    <row r="141">
      <c r="A141" s="5" t="n">
        <v>75434</v>
      </c>
      <c r="B141" s="6">
        <f>INDEX('Raw Data'!$D$2:$D$307,MATCH(A141,'Raw Data'!$B$2:$B$307,0))</f>
        <v/>
      </c>
      <c r="C141" s="5">
        <f>INDEX('Raw Data'!$C$2:$C$307,MATCH(A141,'Raw Data'!$B$2:$B$307,0))</f>
        <v/>
      </c>
      <c r="D141" s="7">
        <f>_xlfn.MINIFS('Raw Data'!$E$2:$E$307,'Raw Data'!$B$2:$B$307,A141)</f>
        <v/>
      </c>
      <c r="E141" s="5">
        <f>INDEX('Raw Data'!$A$2:$A$307,MATCH(1,INDEX(('Raw Data'!$B$2:$B$307=A141)*('Raw Data'!$E$2:$E$307=D141),0),0))</f>
        <v/>
      </c>
      <c r="F141" s="7">
        <f>_xlfn.MAXIFS('Raw Data'!$E$2:$E$307,'Raw Data'!$B$2:$B$307,A141)</f>
        <v/>
      </c>
      <c r="G141" s="5">
        <f>INDEX('Raw Data'!$A$2:$A$307,MATCH(1,INDEX(('Raw Data'!$B$2:$B$307=A141)*('Raw Data'!$E$2:$E$307=F141),0),0))</f>
        <v/>
      </c>
      <c r="H141" s="7">
        <f>F141-D141</f>
        <v/>
      </c>
      <c r="I141" s="5">
        <f>COUNTIF('Raw Data'!$B$2:$B$307,A141)</f>
        <v/>
      </c>
    </row>
    <row r="142">
      <c r="A142" s="5" t="n">
        <v>75435</v>
      </c>
      <c r="B142" s="6">
        <f>INDEX('Raw Data'!$D$2:$D$307,MATCH(A142,'Raw Data'!$B$2:$B$307,0))</f>
        <v/>
      </c>
      <c r="C142" s="5">
        <f>INDEX('Raw Data'!$C$2:$C$307,MATCH(A142,'Raw Data'!$B$2:$B$307,0))</f>
        <v/>
      </c>
      <c r="D142" s="7">
        <f>_xlfn.MINIFS('Raw Data'!$E$2:$E$307,'Raw Data'!$B$2:$B$307,A142)</f>
        <v/>
      </c>
      <c r="E142" s="5">
        <f>INDEX('Raw Data'!$A$2:$A$307,MATCH(1,INDEX(('Raw Data'!$B$2:$B$307=A142)*('Raw Data'!$E$2:$E$307=D142),0),0))</f>
        <v/>
      </c>
      <c r="F142" s="7">
        <f>_xlfn.MAXIFS('Raw Data'!$E$2:$E$307,'Raw Data'!$B$2:$B$307,A142)</f>
        <v/>
      </c>
      <c r="G142" s="5">
        <f>INDEX('Raw Data'!$A$2:$A$307,MATCH(1,INDEX(('Raw Data'!$B$2:$B$307=A142)*('Raw Data'!$E$2:$E$307=F142),0),0))</f>
        <v/>
      </c>
      <c r="H142" s="7">
        <f>F142-D142</f>
        <v/>
      </c>
      <c r="I142" s="5">
        <f>COUNTIF('Raw Data'!$B$2:$B$307,A142)</f>
        <v/>
      </c>
    </row>
    <row r="143">
      <c r="A143" s="5" t="n">
        <v>75436</v>
      </c>
      <c r="B143" s="6">
        <f>INDEX('Raw Data'!$D$2:$D$307,MATCH(A143,'Raw Data'!$B$2:$B$307,0))</f>
        <v/>
      </c>
      <c r="C143" s="5">
        <f>INDEX('Raw Data'!$C$2:$C$307,MATCH(A143,'Raw Data'!$B$2:$B$307,0))</f>
        <v/>
      </c>
      <c r="D143" s="7">
        <f>_xlfn.MINIFS('Raw Data'!$E$2:$E$307,'Raw Data'!$B$2:$B$307,A143)</f>
        <v/>
      </c>
      <c r="E143" s="5">
        <f>INDEX('Raw Data'!$A$2:$A$307,MATCH(1,INDEX(('Raw Data'!$B$2:$B$307=A143)*('Raw Data'!$E$2:$E$307=D143),0),0))</f>
        <v/>
      </c>
      <c r="F143" s="7">
        <f>_xlfn.MAXIFS('Raw Data'!$E$2:$E$307,'Raw Data'!$B$2:$B$307,A143)</f>
        <v/>
      </c>
      <c r="G143" s="5">
        <f>INDEX('Raw Data'!$A$2:$A$307,MATCH(1,INDEX(('Raw Data'!$B$2:$B$307=A143)*('Raw Data'!$E$2:$E$307=F143),0),0))</f>
        <v/>
      </c>
      <c r="H143" s="7">
        <f>F143-D143</f>
        <v/>
      </c>
      <c r="I143" s="5">
        <f>COUNTIF('Raw Data'!$B$2:$B$307,A143)</f>
        <v/>
      </c>
    </row>
    <row r="144">
      <c r="A144" s="5" t="n">
        <v>75437</v>
      </c>
      <c r="B144" s="6">
        <f>INDEX('Raw Data'!$D$2:$D$307,MATCH(A144,'Raw Data'!$B$2:$B$307,0))</f>
        <v/>
      </c>
      <c r="C144" s="5">
        <f>INDEX('Raw Data'!$C$2:$C$307,MATCH(A144,'Raw Data'!$B$2:$B$307,0))</f>
        <v/>
      </c>
      <c r="D144" s="7">
        <f>_xlfn.MINIFS('Raw Data'!$E$2:$E$307,'Raw Data'!$B$2:$B$307,A144)</f>
        <v/>
      </c>
      <c r="E144" s="5">
        <f>INDEX('Raw Data'!$A$2:$A$307,MATCH(1,INDEX(('Raw Data'!$B$2:$B$307=A144)*('Raw Data'!$E$2:$E$307=D144),0),0))</f>
        <v/>
      </c>
      <c r="F144" s="7">
        <f>_xlfn.MAXIFS('Raw Data'!$E$2:$E$307,'Raw Data'!$B$2:$B$307,A144)</f>
        <v/>
      </c>
      <c r="G144" s="5">
        <f>INDEX('Raw Data'!$A$2:$A$307,MATCH(1,INDEX(('Raw Data'!$B$2:$B$307=A144)*('Raw Data'!$E$2:$E$307=F144),0),0))</f>
        <v/>
      </c>
      <c r="H144" s="7">
        <f>F144-D144</f>
        <v/>
      </c>
      <c r="I144" s="5">
        <f>COUNTIF('Raw Data'!$B$2:$B$307,A144)</f>
        <v/>
      </c>
    </row>
    <row r="145">
      <c r="A145" s="5" t="n">
        <v>75438</v>
      </c>
      <c r="B145" s="6">
        <f>INDEX('Raw Data'!$D$2:$D$307,MATCH(A145,'Raw Data'!$B$2:$B$307,0))</f>
        <v/>
      </c>
      <c r="C145" s="5">
        <f>INDEX('Raw Data'!$C$2:$C$307,MATCH(A145,'Raw Data'!$B$2:$B$307,0))</f>
        <v/>
      </c>
      <c r="D145" s="7">
        <f>_xlfn.MINIFS('Raw Data'!$E$2:$E$307,'Raw Data'!$B$2:$B$307,A145)</f>
        <v/>
      </c>
      <c r="E145" s="5">
        <f>INDEX('Raw Data'!$A$2:$A$307,MATCH(1,INDEX(('Raw Data'!$B$2:$B$307=A145)*('Raw Data'!$E$2:$E$307=D145),0),0))</f>
        <v/>
      </c>
      <c r="F145" s="7">
        <f>_xlfn.MAXIFS('Raw Data'!$E$2:$E$307,'Raw Data'!$B$2:$B$307,A145)</f>
        <v/>
      </c>
      <c r="G145" s="5">
        <f>INDEX('Raw Data'!$A$2:$A$307,MATCH(1,INDEX(('Raw Data'!$B$2:$B$307=A145)*('Raw Data'!$E$2:$E$307=F145),0),0))</f>
        <v/>
      </c>
      <c r="H145" s="7">
        <f>F145-D145</f>
        <v/>
      </c>
      <c r="I145" s="5">
        <f>COUNTIF('Raw Data'!$B$2:$B$307,A145)</f>
        <v/>
      </c>
    </row>
    <row r="146">
      <c r="A146" s="5" t="n">
        <v>75439</v>
      </c>
      <c r="B146" s="6">
        <f>INDEX('Raw Data'!$D$2:$D$307,MATCH(A146,'Raw Data'!$B$2:$B$307,0))</f>
        <v/>
      </c>
      <c r="C146" s="5">
        <f>INDEX('Raw Data'!$C$2:$C$307,MATCH(A146,'Raw Data'!$B$2:$B$307,0))</f>
        <v/>
      </c>
      <c r="D146" s="7">
        <f>_xlfn.MINIFS('Raw Data'!$E$2:$E$307,'Raw Data'!$B$2:$B$307,A146)</f>
        <v/>
      </c>
      <c r="E146" s="5">
        <f>INDEX('Raw Data'!$A$2:$A$307,MATCH(1,INDEX(('Raw Data'!$B$2:$B$307=A146)*('Raw Data'!$E$2:$E$307=D146),0),0))</f>
        <v/>
      </c>
      <c r="F146" s="7">
        <f>_xlfn.MAXIFS('Raw Data'!$E$2:$E$307,'Raw Data'!$B$2:$B$307,A146)</f>
        <v/>
      </c>
      <c r="G146" s="5">
        <f>INDEX('Raw Data'!$A$2:$A$307,MATCH(1,INDEX(('Raw Data'!$B$2:$B$307=A146)*('Raw Data'!$E$2:$E$307=F146),0),0))</f>
        <v/>
      </c>
      <c r="H146" s="7">
        <f>F146-D146</f>
        <v/>
      </c>
      <c r="I146" s="5">
        <f>COUNTIF('Raw Data'!$B$2:$B$307,A146)</f>
        <v/>
      </c>
    </row>
    <row r="147">
      <c r="A147" s="5" t="n">
        <v>75440</v>
      </c>
      <c r="B147" s="6">
        <f>INDEX('Raw Data'!$D$2:$D$307,MATCH(A147,'Raw Data'!$B$2:$B$307,0))</f>
        <v/>
      </c>
      <c r="C147" s="5">
        <f>INDEX('Raw Data'!$C$2:$C$307,MATCH(A147,'Raw Data'!$B$2:$B$307,0))</f>
        <v/>
      </c>
      <c r="D147" s="7">
        <f>_xlfn.MINIFS('Raw Data'!$E$2:$E$307,'Raw Data'!$B$2:$B$307,A147)</f>
        <v/>
      </c>
      <c r="E147" s="5">
        <f>INDEX('Raw Data'!$A$2:$A$307,MATCH(1,INDEX(('Raw Data'!$B$2:$B$307=A147)*('Raw Data'!$E$2:$E$307=D147),0),0))</f>
        <v/>
      </c>
      <c r="F147" s="7">
        <f>_xlfn.MAXIFS('Raw Data'!$E$2:$E$307,'Raw Data'!$B$2:$B$307,A147)</f>
        <v/>
      </c>
      <c r="G147" s="5">
        <f>INDEX('Raw Data'!$A$2:$A$307,MATCH(1,INDEX(('Raw Data'!$B$2:$B$307=A147)*('Raw Data'!$E$2:$E$307=F147),0),0))</f>
        <v/>
      </c>
      <c r="H147" s="7">
        <f>F147-D147</f>
        <v/>
      </c>
      <c r="I147" s="5">
        <f>COUNTIF('Raw Data'!$B$2:$B$307,A147)</f>
        <v/>
      </c>
    </row>
    <row r="148">
      <c r="A148" s="5" t="n">
        <v>75441</v>
      </c>
      <c r="B148" s="6">
        <f>INDEX('Raw Data'!$D$2:$D$307,MATCH(A148,'Raw Data'!$B$2:$B$307,0))</f>
        <v/>
      </c>
      <c r="C148" s="5">
        <f>INDEX('Raw Data'!$C$2:$C$307,MATCH(A148,'Raw Data'!$B$2:$B$307,0))</f>
        <v/>
      </c>
      <c r="D148" s="7">
        <f>_xlfn.MINIFS('Raw Data'!$E$2:$E$307,'Raw Data'!$B$2:$B$307,A148)</f>
        <v/>
      </c>
      <c r="E148" s="5">
        <f>INDEX('Raw Data'!$A$2:$A$307,MATCH(1,INDEX(('Raw Data'!$B$2:$B$307=A148)*('Raw Data'!$E$2:$E$307=D148),0),0))</f>
        <v/>
      </c>
      <c r="F148" s="7">
        <f>_xlfn.MAXIFS('Raw Data'!$E$2:$E$307,'Raw Data'!$B$2:$B$307,A148)</f>
        <v/>
      </c>
      <c r="G148" s="5">
        <f>INDEX('Raw Data'!$A$2:$A$307,MATCH(1,INDEX(('Raw Data'!$B$2:$B$307=A148)*('Raw Data'!$E$2:$E$307=F148),0),0))</f>
        <v/>
      </c>
      <c r="H148" s="7">
        <f>F148-D148</f>
        <v/>
      </c>
      <c r="I148" s="5">
        <f>COUNTIF('Raw Data'!$B$2:$B$307,A148)</f>
        <v/>
      </c>
    </row>
    <row r="149">
      <c r="A149" s="5" t="n">
        <v>75442</v>
      </c>
      <c r="B149" s="6">
        <f>INDEX('Raw Data'!$D$2:$D$307,MATCH(A149,'Raw Data'!$B$2:$B$307,0))</f>
        <v/>
      </c>
      <c r="C149" s="5">
        <f>INDEX('Raw Data'!$C$2:$C$307,MATCH(A149,'Raw Data'!$B$2:$B$307,0))</f>
        <v/>
      </c>
      <c r="D149" s="7">
        <f>_xlfn.MINIFS('Raw Data'!$E$2:$E$307,'Raw Data'!$B$2:$B$307,A149)</f>
        <v/>
      </c>
      <c r="E149" s="5">
        <f>INDEX('Raw Data'!$A$2:$A$307,MATCH(1,INDEX(('Raw Data'!$B$2:$B$307=A149)*('Raw Data'!$E$2:$E$307=D149),0),0))</f>
        <v/>
      </c>
      <c r="F149" s="7">
        <f>_xlfn.MAXIFS('Raw Data'!$E$2:$E$307,'Raw Data'!$B$2:$B$307,A149)</f>
        <v/>
      </c>
      <c r="G149" s="5">
        <f>INDEX('Raw Data'!$A$2:$A$307,MATCH(1,INDEX(('Raw Data'!$B$2:$B$307=A149)*('Raw Data'!$E$2:$E$307=F149),0),0))</f>
        <v/>
      </c>
      <c r="H149" s="7">
        <f>F149-D149</f>
        <v/>
      </c>
      <c r="I149" s="5">
        <f>COUNTIF('Raw Data'!$B$2:$B$307,A149)</f>
        <v/>
      </c>
    </row>
    <row r="150">
      <c r="A150" s="5" t="n">
        <v>75443</v>
      </c>
      <c r="B150" s="6">
        <f>INDEX('Raw Data'!$D$2:$D$307,MATCH(A150,'Raw Data'!$B$2:$B$307,0))</f>
        <v/>
      </c>
      <c r="C150" s="5">
        <f>INDEX('Raw Data'!$C$2:$C$307,MATCH(A150,'Raw Data'!$B$2:$B$307,0))</f>
        <v/>
      </c>
      <c r="D150" s="7">
        <f>_xlfn.MINIFS('Raw Data'!$E$2:$E$307,'Raw Data'!$B$2:$B$307,A150)</f>
        <v/>
      </c>
      <c r="E150" s="5">
        <f>INDEX('Raw Data'!$A$2:$A$307,MATCH(1,INDEX(('Raw Data'!$B$2:$B$307=A150)*('Raw Data'!$E$2:$E$307=D150),0),0))</f>
        <v/>
      </c>
      <c r="F150" s="7">
        <f>_xlfn.MAXIFS('Raw Data'!$E$2:$E$307,'Raw Data'!$B$2:$B$307,A150)</f>
        <v/>
      </c>
      <c r="G150" s="5">
        <f>INDEX('Raw Data'!$A$2:$A$307,MATCH(1,INDEX(('Raw Data'!$B$2:$B$307=A150)*('Raw Data'!$E$2:$E$307=F150),0),0))</f>
        <v/>
      </c>
      <c r="H150" s="7">
        <f>F150-D150</f>
        <v/>
      </c>
      <c r="I150" s="5">
        <f>COUNTIF('Raw Data'!$B$2:$B$307,A150)</f>
        <v/>
      </c>
    </row>
    <row r="151">
      <c r="A151" s="5" t="n">
        <v>75444</v>
      </c>
      <c r="B151" s="6">
        <f>INDEX('Raw Data'!$D$2:$D$307,MATCH(A151,'Raw Data'!$B$2:$B$307,0))</f>
        <v/>
      </c>
      <c r="C151" s="5">
        <f>INDEX('Raw Data'!$C$2:$C$307,MATCH(A151,'Raw Data'!$B$2:$B$307,0))</f>
        <v/>
      </c>
      <c r="D151" s="7">
        <f>_xlfn.MINIFS('Raw Data'!$E$2:$E$307,'Raw Data'!$B$2:$B$307,A151)</f>
        <v/>
      </c>
      <c r="E151" s="5">
        <f>INDEX('Raw Data'!$A$2:$A$307,MATCH(1,INDEX(('Raw Data'!$B$2:$B$307=A151)*('Raw Data'!$E$2:$E$307=D151),0),0))</f>
        <v/>
      </c>
      <c r="F151" s="7">
        <f>_xlfn.MAXIFS('Raw Data'!$E$2:$E$307,'Raw Data'!$B$2:$B$307,A151)</f>
        <v/>
      </c>
      <c r="G151" s="5">
        <f>INDEX('Raw Data'!$A$2:$A$307,MATCH(1,INDEX(('Raw Data'!$B$2:$B$307=A151)*('Raw Data'!$E$2:$E$307=F151),0),0))</f>
        <v/>
      </c>
      <c r="H151" s="7">
        <f>F151-D151</f>
        <v/>
      </c>
      <c r="I151" s="5">
        <f>COUNTIF('Raw Data'!$B$2:$B$307,A151)</f>
        <v/>
      </c>
    </row>
    <row r="152">
      <c r="A152" s="5" t="n">
        <v>75445</v>
      </c>
      <c r="B152" s="6">
        <f>INDEX('Raw Data'!$D$2:$D$307,MATCH(A152,'Raw Data'!$B$2:$B$307,0))</f>
        <v/>
      </c>
      <c r="C152" s="5">
        <f>INDEX('Raw Data'!$C$2:$C$307,MATCH(A152,'Raw Data'!$B$2:$B$307,0))</f>
        <v/>
      </c>
      <c r="D152" s="7">
        <f>_xlfn.MINIFS('Raw Data'!$E$2:$E$307,'Raw Data'!$B$2:$B$307,A152)</f>
        <v/>
      </c>
      <c r="E152" s="5">
        <f>INDEX('Raw Data'!$A$2:$A$307,MATCH(1,INDEX(('Raw Data'!$B$2:$B$307=A152)*('Raw Data'!$E$2:$E$307=D152),0),0))</f>
        <v/>
      </c>
      <c r="F152" s="7">
        <f>_xlfn.MAXIFS('Raw Data'!$E$2:$E$307,'Raw Data'!$B$2:$B$307,A152)</f>
        <v/>
      </c>
      <c r="G152" s="5">
        <f>INDEX('Raw Data'!$A$2:$A$307,MATCH(1,INDEX(('Raw Data'!$B$2:$B$307=A152)*('Raw Data'!$E$2:$E$307=F152),0),0))</f>
        <v/>
      </c>
      <c r="H152" s="7">
        <f>F152-D152</f>
        <v/>
      </c>
      <c r="I152" s="5">
        <f>COUNTIF('Raw Data'!$B$2:$B$307,A152)</f>
        <v/>
      </c>
    </row>
    <row r="153">
      <c r="A153" s="5" t="n">
        <v>75446</v>
      </c>
      <c r="B153" s="6">
        <f>INDEX('Raw Data'!$D$2:$D$307,MATCH(A153,'Raw Data'!$B$2:$B$307,0))</f>
        <v/>
      </c>
      <c r="C153" s="5">
        <f>INDEX('Raw Data'!$C$2:$C$307,MATCH(A153,'Raw Data'!$B$2:$B$307,0))</f>
        <v/>
      </c>
      <c r="D153" s="7">
        <f>_xlfn.MINIFS('Raw Data'!$E$2:$E$307,'Raw Data'!$B$2:$B$307,A153)</f>
        <v/>
      </c>
      <c r="E153" s="5">
        <f>INDEX('Raw Data'!$A$2:$A$307,MATCH(1,INDEX(('Raw Data'!$B$2:$B$307=A153)*('Raw Data'!$E$2:$E$307=D153),0),0))</f>
        <v/>
      </c>
      <c r="F153" s="7">
        <f>_xlfn.MAXIFS('Raw Data'!$E$2:$E$307,'Raw Data'!$B$2:$B$307,A153)</f>
        <v/>
      </c>
      <c r="G153" s="5">
        <f>INDEX('Raw Data'!$A$2:$A$307,MATCH(1,INDEX(('Raw Data'!$B$2:$B$307=A153)*('Raw Data'!$E$2:$E$307=F153),0),0))</f>
        <v/>
      </c>
      <c r="H153" s="7">
        <f>F153-D153</f>
        <v/>
      </c>
      <c r="I153" s="5">
        <f>COUNTIF('Raw Data'!$B$2:$B$307,A153)</f>
        <v/>
      </c>
    </row>
    <row r="154">
      <c r="A154" s="5" t="n">
        <v>75447</v>
      </c>
      <c r="B154" s="6">
        <f>INDEX('Raw Data'!$D$2:$D$307,MATCH(A154,'Raw Data'!$B$2:$B$307,0))</f>
        <v/>
      </c>
      <c r="C154" s="5">
        <f>INDEX('Raw Data'!$C$2:$C$307,MATCH(A154,'Raw Data'!$B$2:$B$307,0))</f>
        <v/>
      </c>
      <c r="D154" s="7">
        <f>_xlfn.MINIFS('Raw Data'!$E$2:$E$307,'Raw Data'!$B$2:$B$307,A154)</f>
        <v/>
      </c>
      <c r="E154" s="5">
        <f>INDEX('Raw Data'!$A$2:$A$307,MATCH(1,INDEX(('Raw Data'!$B$2:$B$307=A154)*('Raw Data'!$E$2:$E$307=D154),0),0))</f>
        <v/>
      </c>
      <c r="F154" s="7">
        <f>_xlfn.MAXIFS('Raw Data'!$E$2:$E$307,'Raw Data'!$B$2:$B$307,A154)</f>
        <v/>
      </c>
      <c r="G154" s="5">
        <f>INDEX('Raw Data'!$A$2:$A$307,MATCH(1,INDEX(('Raw Data'!$B$2:$B$307=A154)*('Raw Data'!$E$2:$E$307=F154),0),0))</f>
        <v/>
      </c>
      <c r="H154" s="7">
        <f>F154-D154</f>
        <v/>
      </c>
      <c r="I154" s="5">
        <f>COUNTIF('Raw Data'!$B$2:$B$307,A154)</f>
        <v/>
      </c>
    </row>
    <row r="155">
      <c r="A155" s="5" t="n">
        <v>75448</v>
      </c>
      <c r="B155" s="6">
        <f>INDEX('Raw Data'!$D$2:$D$307,MATCH(A155,'Raw Data'!$B$2:$B$307,0))</f>
        <v/>
      </c>
      <c r="C155" s="5">
        <f>INDEX('Raw Data'!$C$2:$C$307,MATCH(A155,'Raw Data'!$B$2:$B$307,0))</f>
        <v/>
      </c>
      <c r="D155" s="7">
        <f>_xlfn.MINIFS('Raw Data'!$E$2:$E$307,'Raw Data'!$B$2:$B$307,A155)</f>
        <v/>
      </c>
      <c r="E155" s="5">
        <f>INDEX('Raw Data'!$A$2:$A$307,MATCH(1,INDEX(('Raw Data'!$B$2:$B$307=A155)*('Raw Data'!$E$2:$E$307=D155),0),0))</f>
        <v/>
      </c>
      <c r="F155" s="7">
        <f>_xlfn.MAXIFS('Raw Data'!$E$2:$E$307,'Raw Data'!$B$2:$B$307,A155)</f>
        <v/>
      </c>
      <c r="G155" s="5">
        <f>INDEX('Raw Data'!$A$2:$A$307,MATCH(1,INDEX(('Raw Data'!$B$2:$B$307=A155)*('Raw Data'!$E$2:$E$307=F155),0),0))</f>
        <v/>
      </c>
      <c r="H155" s="7">
        <f>F155-D155</f>
        <v/>
      </c>
      <c r="I155" s="5">
        <f>COUNTIF('Raw Data'!$B$2:$B$307,A155)</f>
        <v/>
      </c>
    </row>
    <row r="156">
      <c r="A156" s="5" t="n">
        <v>75449</v>
      </c>
      <c r="B156" s="6">
        <f>INDEX('Raw Data'!$D$2:$D$307,MATCH(A156,'Raw Data'!$B$2:$B$307,0))</f>
        <v/>
      </c>
      <c r="C156" s="5">
        <f>INDEX('Raw Data'!$C$2:$C$307,MATCH(A156,'Raw Data'!$B$2:$B$307,0))</f>
        <v/>
      </c>
      <c r="D156" s="7">
        <f>_xlfn.MINIFS('Raw Data'!$E$2:$E$307,'Raw Data'!$B$2:$B$307,A156)</f>
        <v/>
      </c>
      <c r="E156" s="5">
        <f>INDEX('Raw Data'!$A$2:$A$307,MATCH(1,INDEX(('Raw Data'!$B$2:$B$307=A156)*('Raw Data'!$E$2:$E$307=D156),0),0))</f>
        <v/>
      </c>
      <c r="F156" s="7">
        <f>_xlfn.MAXIFS('Raw Data'!$E$2:$E$307,'Raw Data'!$B$2:$B$307,A156)</f>
        <v/>
      </c>
      <c r="G156" s="5">
        <f>INDEX('Raw Data'!$A$2:$A$307,MATCH(1,INDEX(('Raw Data'!$B$2:$B$307=A156)*('Raw Data'!$E$2:$E$307=F156),0),0))</f>
        <v/>
      </c>
      <c r="H156" s="7">
        <f>F156-D156</f>
        <v/>
      </c>
      <c r="I156" s="5">
        <f>COUNTIF('Raw Data'!$B$2:$B$307,A156)</f>
        <v/>
      </c>
    </row>
    <row r="157">
      <c r="A157" s="5" t="n">
        <v>75451</v>
      </c>
      <c r="B157" s="6">
        <f>INDEX('Raw Data'!$D$2:$D$307,MATCH(A157,'Raw Data'!$B$2:$B$307,0))</f>
        <v/>
      </c>
      <c r="C157" s="5">
        <f>INDEX('Raw Data'!$C$2:$C$307,MATCH(A157,'Raw Data'!$B$2:$B$307,0))</f>
        <v/>
      </c>
      <c r="D157" s="7">
        <f>_xlfn.MINIFS('Raw Data'!$E$2:$E$307,'Raw Data'!$B$2:$B$307,A157)</f>
        <v/>
      </c>
      <c r="E157" s="5">
        <f>INDEX('Raw Data'!$A$2:$A$307,MATCH(1,INDEX(('Raw Data'!$B$2:$B$307=A157)*('Raw Data'!$E$2:$E$307=D157),0),0))</f>
        <v/>
      </c>
      <c r="F157" s="7">
        <f>_xlfn.MAXIFS('Raw Data'!$E$2:$E$307,'Raw Data'!$B$2:$B$307,A157)</f>
        <v/>
      </c>
      <c r="G157" s="5">
        <f>INDEX('Raw Data'!$A$2:$A$307,MATCH(1,INDEX(('Raw Data'!$B$2:$B$307=A157)*('Raw Data'!$E$2:$E$307=F157),0),0))</f>
        <v/>
      </c>
      <c r="H157" s="7">
        <f>F157-D157</f>
        <v/>
      </c>
      <c r="I157" s="5">
        <f>COUNTIF('Raw Data'!$B$2:$B$307,A157)</f>
        <v/>
      </c>
    </row>
    <row r="158">
      <c r="A158" s="5" t="n">
        <v>75452</v>
      </c>
      <c r="B158" s="6">
        <f>INDEX('Raw Data'!$D$2:$D$307,MATCH(A158,'Raw Data'!$B$2:$B$307,0))</f>
        <v/>
      </c>
      <c r="C158" s="5">
        <f>INDEX('Raw Data'!$C$2:$C$307,MATCH(A158,'Raw Data'!$B$2:$B$307,0))</f>
        <v/>
      </c>
      <c r="D158" s="7">
        <f>_xlfn.MINIFS('Raw Data'!$E$2:$E$307,'Raw Data'!$B$2:$B$307,A158)</f>
        <v/>
      </c>
      <c r="E158" s="5">
        <f>INDEX('Raw Data'!$A$2:$A$307,MATCH(1,INDEX(('Raw Data'!$B$2:$B$307=A158)*('Raw Data'!$E$2:$E$307=D158),0),0))</f>
        <v/>
      </c>
      <c r="F158" s="7">
        <f>_xlfn.MAXIFS('Raw Data'!$E$2:$E$307,'Raw Data'!$B$2:$B$307,A158)</f>
        <v/>
      </c>
      <c r="G158" s="5">
        <f>INDEX('Raw Data'!$A$2:$A$307,MATCH(1,INDEX(('Raw Data'!$B$2:$B$307=A158)*('Raw Data'!$E$2:$E$307=F158),0),0))</f>
        <v/>
      </c>
      <c r="H158" s="7">
        <f>F158-D158</f>
        <v/>
      </c>
      <c r="I158" s="5">
        <f>COUNTIF('Raw Data'!$B$2:$B$307,A158)</f>
        <v/>
      </c>
    </row>
    <row r="159">
      <c r="A159" s="5" t="n">
        <v>75453</v>
      </c>
      <c r="B159" s="6">
        <f>INDEX('Raw Data'!$D$2:$D$307,MATCH(A159,'Raw Data'!$B$2:$B$307,0))</f>
        <v/>
      </c>
      <c r="C159" s="5">
        <f>INDEX('Raw Data'!$C$2:$C$307,MATCH(A159,'Raw Data'!$B$2:$B$307,0))</f>
        <v/>
      </c>
      <c r="D159" s="7">
        <f>_xlfn.MINIFS('Raw Data'!$E$2:$E$307,'Raw Data'!$B$2:$B$307,A159)</f>
        <v/>
      </c>
      <c r="E159" s="5">
        <f>INDEX('Raw Data'!$A$2:$A$307,MATCH(1,INDEX(('Raw Data'!$B$2:$B$307=A159)*('Raw Data'!$E$2:$E$307=D159),0),0))</f>
        <v/>
      </c>
      <c r="F159" s="7">
        <f>_xlfn.MAXIFS('Raw Data'!$E$2:$E$307,'Raw Data'!$B$2:$B$307,A159)</f>
        <v/>
      </c>
      <c r="G159" s="5">
        <f>INDEX('Raw Data'!$A$2:$A$307,MATCH(1,INDEX(('Raw Data'!$B$2:$B$307=A159)*('Raw Data'!$E$2:$E$307=F159),0),0))</f>
        <v/>
      </c>
      <c r="H159" s="7">
        <f>F159-D159</f>
        <v/>
      </c>
      <c r="I159" s="5">
        <f>COUNTIF('Raw Data'!$B$2:$B$307,A159)</f>
        <v/>
      </c>
    </row>
    <row r="160">
      <c r="A160" s="5" t="n">
        <v>75454</v>
      </c>
      <c r="B160" s="6">
        <f>INDEX('Raw Data'!$D$2:$D$307,MATCH(A160,'Raw Data'!$B$2:$B$307,0))</f>
        <v/>
      </c>
      <c r="C160" s="5">
        <f>INDEX('Raw Data'!$C$2:$C$307,MATCH(A160,'Raw Data'!$B$2:$B$307,0))</f>
        <v/>
      </c>
      <c r="D160" s="7">
        <f>_xlfn.MINIFS('Raw Data'!$E$2:$E$307,'Raw Data'!$B$2:$B$307,A160)</f>
        <v/>
      </c>
      <c r="E160" s="5">
        <f>INDEX('Raw Data'!$A$2:$A$307,MATCH(1,INDEX(('Raw Data'!$B$2:$B$307=A160)*('Raw Data'!$E$2:$E$307=D160),0),0))</f>
        <v/>
      </c>
      <c r="F160" s="7">
        <f>_xlfn.MAXIFS('Raw Data'!$E$2:$E$307,'Raw Data'!$B$2:$B$307,A160)</f>
        <v/>
      </c>
      <c r="G160" s="5">
        <f>INDEX('Raw Data'!$A$2:$A$307,MATCH(1,INDEX(('Raw Data'!$B$2:$B$307=A160)*('Raw Data'!$E$2:$E$307=F160),0),0))</f>
        <v/>
      </c>
      <c r="H160" s="7">
        <f>F160-D160</f>
        <v/>
      </c>
      <c r="I160" s="5">
        <f>COUNTIF('Raw Data'!$B$2:$B$307,A160)</f>
        <v/>
      </c>
    </row>
    <row r="161">
      <c r="A161" s="5" t="n">
        <v>75455</v>
      </c>
      <c r="B161" s="6">
        <f>INDEX('Raw Data'!$D$2:$D$307,MATCH(A161,'Raw Data'!$B$2:$B$307,0))</f>
        <v/>
      </c>
      <c r="C161" s="5">
        <f>INDEX('Raw Data'!$C$2:$C$307,MATCH(A161,'Raw Data'!$B$2:$B$307,0))</f>
        <v/>
      </c>
      <c r="D161" s="7">
        <f>_xlfn.MINIFS('Raw Data'!$E$2:$E$307,'Raw Data'!$B$2:$B$307,A161)</f>
        <v/>
      </c>
      <c r="E161" s="5">
        <f>INDEX('Raw Data'!$A$2:$A$307,MATCH(1,INDEX(('Raw Data'!$B$2:$B$307=A161)*('Raw Data'!$E$2:$E$307=D161),0),0))</f>
        <v/>
      </c>
      <c r="F161" s="7">
        <f>_xlfn.MAXIFS('Raw Data'!$E$2:$E$307,'Raw Data'!$B$2:$B$307,A161)</f>
        <v/>
      </c>
      <c r="G161" s="5">
        <f>INDEX('Raw Data'!$A$2:$A$307,MATCH(1,INDEX(('Raw Data'!$B$2:$B$307=A161)*('Raw Data'!$E$2:$E$307=F161),0),0))</f>
        <v/>
      </c>
      <c r="H161" s="7">
        <f>F161-D161</f>
        <v/>
      </c>
      <c r="I161" s="5">
        <f>COUNTIF('Raw Data'!$B$2:$B$307,A161)</f>
        <v/>
      </c>
    </row>
    <row r="162">
      <c r="A162" s="5" t="n">
        <v>75456</v>
      </c>
      <c r="B162" s="6">
        <f>INDEX('Raw Data'!$D$2:$D$307,MATCH(A162,'Raw Data'!$B$2:$B$307,0))</f>
        <v/>
      </c>
      <c r="C162" s="5">
        <f>INDEX('Raw Data'!$C$2:$C$307,MATCH(A162,'Raw Data'!$B$2:$B$307,0))</f>
        <v/>
      </c>
      <c r="D162" s="7">
        <f>_xlfn.MINIFS('Raw Data'!$E$2:$E$307,'Raw Data'!$B$2:$B$307,A162)</f>
        <v/>
      </c>
      <c r="E162" s="5">
        <f>INDEX('Raw Data'!$A$2:$A$307,MATCH(1,INDEX(('Raw Data'!$B$2:$B$307=A162)*('Raw Data'!$E$2:$E$307=D162),0),0))</f>
        <v/>
      </c>
      <c r="F162" s="7">
        <f>_xlfn.MAXIFS('Raw Data'!$E$2:$E$307,'Raw Data'!$B$2:$B$307,A162)</f>
        <v/>
      </c>
      <c r="G162" s="5">
        <f>INDEX('Raw Data'!$A$2:$A$307,MATCH(1,INDEX(('Raw Data'!$B$2:$B$307=A162)*('Raw Data'!$E$2:$E$307=F162),0),0))</f>
        <v/>
      </c>
      <c r="H162" s="7">
        <f>F162-D162</f>
        <v/>
      </c>
      <c r="I162" s="5">
        <f>COUNTIF('Raw Data'!$B$2:$B$307,A162)</f>
        <v/>
      </c>
    </row>
    <row r="163">
      <c r="A163" s="5" t="n">
        <v>75458</v>
      </c>
      <c r="B163" s="6">
        <f>INDEX('Raw Data'!$D$2:$D$307,MATCH(A163,'Raw Data'!$B$2:$B$307,0))</f>
        <v/>
      </c>
      <c r="C163" s="5">
        <f>INDEX('Raw Data'!$C$2:$C$307,MATCH(A163,'Raw Data'!$B$2:$B$307,0))</f>
        <v/>
      </c>
      <c r="D163" s="7">
        <f>_xlfn.MINIFS('Raw Data'!$E$2:$E$307,'Raw Data'!$B$2:$B$307,A163)</f>
        <v/>
      </c>
      <c r="E163" s="5">
        <f>INDEX('Raw Data'!$A$2:$A$307,MATCH(1,INDEX(('Raw Data'!$B$2:$B$307=A163)*('Raw Data'!$E$2:$E$307=D163),0),0))</f>
        <v/>
      </c>
      <c r="F163" s="7">
        <f>_xlfn.MAXIFS('Raw Data'!$E$2:$E$307,'Raw Data'!$B$2:$B$307,A163)</f>
        <v/>
      </c>
      <c r="G163" s="5">
        <f>INDEX('Raw Data'!$A$2:$A$307,MATCH(1,INDEX(('Raw Data'!$B$2:$B$307=A163)*('Raw Data'!$E$2:$E$307=F163),0),0))</f>
        <v/>
      </c>
      <c r="H163" s="7">
        <f>F163-D163</f>
        <v/>
      </c>
      <c r="I163" s="5">
        <f>COUNTIF('Raw Data'!$B$2:$B$307,A163)</f>
        <v/>
      </c>
    </row>
    <row r="164">
      <c r="A164" s="5" t="n">
        <v>75459</v>
      </c>
      <c r="B164" s="6">
        <f>INDEX('Raw Data'!$D$2:$D$307,MATCH(A164,'Raw Data'!$B$2:$B$307,0))</f>
        <v/>
      </c>
      <c r="C164" s="5">
        <f>INDEX('Raw Data'!$C$2:$C$307,MATCH(A164,'Raw Data'!$B$2:$B$307,0))</f>
        <v/>
      </c>
      <c r="D164" s="7">
        <f>_xlfn.MINIFS('Raw Data'!$E$2:$E$307,'Raw Data'!$B$2:$B$307,A164)</f>
        <v/>
      </c>
      <c r="E164" s="5">
        <f>INDEX('Raw Data'!$A$2:$A$307,MATCH(1,INDEX(('Raw Data'!$B$2:$B$307=A164)*('Raw Data'!$E$2:$E$307=D164),0),0))</f>
        <v/>
      </c>
      <c r="F164" s="7">
        <f>_xlfn.MAXIFS('Raw Data'!$E$2:$E$307,'Raw Data'!$B$2:$B$307,A164)</f>
        <v/>
      </c>
      <c r="G164" s="5">
        <f>INDEX('Raw Data'!$A$2:$A$307,MATCH(1,INDEX(('Raw Data'!$B$2:$B$307=A164)*('Raw Data'!$E$2:$E$307=F164),0),0))</f>
        <v/>
      </c>
      <c r="H164" s="7">
        <f>F164-D164</f>
        <v/>
      </c>
      <c r="I164" s="5">
        <f>COUNTIF('Raw Data'!$B$2:$B$307,A164)</f>
        <v/>
      </c>
    </row>
    <row r="165">
      <c r="A165" s="5" t="n">
        <v>75460</v>
      </c>
      <c r="B165" s="6">
        <f>INDEX('Raw Data'!$D$2:$D$307,MATCH(A165,'Raw Data'!$B$2:$B$307,0))</f>
        <v/>
      </c>
      <c r="C165" s="5">
        <f>INDEX('Raw Data'!$C$2:$C$307,MATCH(A165,'Raw Data'!$B$2:$B$307,0))</f>
        <v/>
      </c>
      <c r="D165" s="7">
        <f>_xlfn.MINIFS('Raw Data'!$E$2:$E$307,'Raw Data'!$B$2:$B$307,A165)</f>
        <v/>
      </c>
      <c r="E165" s="5">
        <f>INDEX('Raw Data'!$A$2:$A$307,MATCH(1,INDEX(('Raw Data'!$B$2:$B$307=A165)*('Raw Data'!$E$2:$E$307=D165),0),0))</f>
        <v/>
      </c>
      <c r="F165" s="7">
        <f>_xlfn.MAXIFS('Raw Data'!$E$2:$E$307,'Raw Data'!$B$2:$B$307,A165)</f>
        <v/>
      </c>
      <c r="G165" s="5">
        <f>INDEX('Raw Data'!$A$2:$A$307,MATCH(1,INDEX(('Raw Data'!$B$2:$B$307=A165)*('Raw Data'!$E$2:$E$307=F165),0),0))</f>
        <v/>
      </c>
      <c r="H165" s="7">
        <f>F165-D165</f>
        <v/>
      </c>
      <c r="I165" s="5">
        <f>COUNTIF('Raw Data'!$B$2:$B$307,A165)</f>
        <v/>
      </c>
    </row>
    <row r="166">
      <c r="A166" s="5" t="n">
        <v>75461</v>
      </c>
      <c r="B166" s="6">
        <f>INDEX('Raw Data'!$D$2:$D$307,MATCH(A166,'Raw Data'!$B$2:$B$307,0))</f>
        <v/>
      </c>
      <c r="C166" s="5">
        <f>INDEX('Raw Data'!$C$2:$C$307,MATCH(A166,'Raw Data'!$B$2:$B$307,0))</f>
        <v/>
      </c>
      <c r="D166" s="7">
        <f>_xlfn.MINIFS('Raw Data'!$E$2:$E$307,'Raw Data'!$B$2:$B$307,A166)</f>
        <v/>
      </c>
      <c r="E166" s="5">
        <f>INDEX('Raw Data'!$A$2:$A$307,MATCH(1,INDEX(('Raw Data'!$B$2:$B$307=A166)*('Raw Data'!$E$2:$E$307=D166),0),0))</f>
        <v/>
      </c>
      <c r="F166" s="7">
        <f>_xlfn.MAXIFS('Raw Data'!$E$2:$E$307,'Raw Data'!$B$2:$B$307,A166)</f>
        <v/>
      </c>
      <c r="G166" s="5">
        <f>INDEX('Raw Data'!$A$2:$A$307,MATCH(1,INDEX(('Raw Data'!$B$2:$B$307=A166)*('Raw Data'!$E$2:$E$307=F166),0),0))</f>
        <v/>
      </c>
      <c r="H166" s="7">
        <f>F166-D166</f>
        <v/>
      </c>
      <c r="I166" s="5">
        <f>COUNTIF('Raw Data'!$B$2:$B$307,A166)</f>
        <v/>
      </c>
    </row>
    <row r="167">
      <c r="A167" s="5" t="n">
        <v>75524</v>
      </c>
      <c r="B167" s="6">
        <f>INDEX('Raw Data'!$D$2:$D$307,MATCH(A167,'Raw Data'!$B$2:$B$307,0))</f>
        <v/>
      </c>
      <c r="C167" s="5">
        <f>INDEX('Raw Data'!$C$2:$C$307,MATCH(A167,'Raw Data'!$B$2:$B$307,0))</f>
        <v/>
      </c>
      <c r="D167" s="7">
        <f>_xlfn.MINIFS('Raw Data'!$E$2:$E$307,'Raw Data'!$B$2:$B$307,A167)</f>
        <v/>
      </c>
      <c r="E167" s="5">
        <f>INDEX('Raw Data'!$A$2:$A$307,MATCH(1,INDEX(('Raw Data'!$B$2:$B$307=A167)*('Raw Data'!$E$2:$E$307=D167),0),0))</f>
        <v/>
      </c>
      <c r="F167" s="7">
        <f>_xlfn.MAXIFS('Raw Data'!$E$2:$E$307,'Raw Data'!$B$2:$B$307,A167)</f>
        <v/>
      </c>
      <c r="G167" s="5">
        <f>INDEX('Raw Data'!$A$2:$A$307,MATCH(1,INDEX(('Raw Data'!$B$2:$B$307=A167)*('Raw Data'!$E$2:$E$307=F167),0),0))</f>
        <v/>
      </c>
      <c r="H167" s="7">
        <f>F167-D167</f>
        <v/>
      </c>
      <c r="I167" s="5">
        <f>COUNTIF('Raw Data'!$B$2:$B$307,A167)</f>
        <v/>
      </c>
    </row>
    <row r="168">
      <c r="A168" s="5" t="n">
        <v>75525</v>
      </c>
      <c r="B168" s="6">
        <f>INDEX('Raw Data'!$D$2:$D$307,MATCH(A168,'Raw Data'!$B$2:$B$307,0))</f>
        <v/>
      </c>
      <c r="C168" s="5">
        <f>INDEX('Raw Data'!$C$2:$C$307,MATCH(A168,'Raw Data'!$B$2:$B$307,0))</f>
        <v/>
      </c>
      <c r="D168" s="7">
        <f>_xlfn.MINIFS('Raw Data'!$E$2:$E$307,'Raw Data'!$B$2:$B$307,A168)</f>
        <v/>
      </c>
      <c r="E168" s="5">
        <f>INDEX('Raw Data'!$A$2:$A$307,MATCH(1,INDEX(('Raw Data'!$B$2:$B$307=A168)*('Raw Data'!$E$2:$E$307=D168),0),0))</f>
        <v/>
      </c>
      <c r="F168" s="7">
        <f>_xlfn.MAXIFS('Raw Data'!$E$2:$E$307,'Raw Data'!$B$2:$B$307,A168)</f>
        <v/>
      </c>
      <c r="G168" s="5">
        <f>INDEX('Raw Data'!$A$2:$A$307,MATCH(1,INDEX(('Raw Data'!$B$2:$B$307=A168)*('Raw Data'!$E$2:$E$307=F168),0),0))</f>
        <v/>
      </c>
      <c r="H168" s="7">
        <f>F168-D168</f>
        <v/>
      </c>
      <c r="I168" s="5">
        <f>COUNTIF('Raw Data'!$B$2:$B$307,A168)</f>
        <v/>
      </c>
    </row>
    <row r="169">
      <c r="A169" s="5" t="n">
        <v>75528</v>
      </c>
      <c r="B169" s="6">
        <f>INDEX('Raw Data'!$D$2:$D$307,MATCH(A169,'Raw Data'!$B$2:$B$307,0))</f>
        <v/>
      </c>
      <c r="C169" s="5">
        <f>INDEX('Raw Data'!$C$2:$C$307,MATCH(A169,'Raw Data'!$B$2:$B$307,0))</f>
        <v/>
      </c>
      <c r="D169" s="7">
        <f>_xlfn.MINIFS('Raw Data'!$E$2:$E$307,'Raw Data'!$B$2:$B$307,A169)</f>
        <v/>
      </c>
      <c r="E169" s="5">
        <f>INDEX('Raw Data'!$A$2:$A$307,MATCH(1,INDEX(('Raw Data'!$B$2:$B$307=A169)*('Raw Data'!$E$2:$E$307=D169),0),0))</f>
        <v/>
      </c>
      <c r="F169" s="7">
        <f>_xlfn.MAXIFS('Raw Data'!$E$2:$E$307,'Raw Data'!$B$2:$B$307,A169)</f>
        <v/>
      </c>
      <c r="G169" s="5">
        <f>INDEX('Raw Data'!$A$2:$A$307,MATCH(1,INDEX(('Raw Data'!$B$2:$B$307=A169)*('Raw Data'!$E$2:$E$307=F169),0),0))</f>
        <v/>
      </c>
      <c r="H169" s="7">
        <f>F169-D169</f>
        <v/>
      </c>
      <c r="I169" s="5">
        <f>COUNTIF('Raw Data'!$B$2:$B$307,A169)</f>
        <v/>
      </c>
    </row>
    <row r="170">
      <c r="A170" s="5" t="n">
        <v>75535</v>
      </c>
      <c r="B170" s="6">
        <f>INDEX('Raw Data'!$D$2:$D$307,MATCH(A170,'Raw Data'!$B$2:$B$307,0))</f>
        <v/>
      </c>
      <c r="C170" s="5">
        <f>INDEX('Raw Data'!$C$2:$C$307,MATCH(A170,'Raw Data'!$B$2:$B$307,0))</f>
        <v/>
      </c>
      <c r="D170" s="7">
        <f>_xlfn.MINIFS('Raw Data'!$E$2:$E$307,'Raw Data'!$B$2:$B$307,A170)</f>
        <v/>
      </c>
      <c r="E170" s="5">
        <f>INDEX('Raw Data'!$A$2:$A$307,MATCH(1,INDEX(('Raw Data'!$B$2:$B$307=A170)*('Raw Data'!$E$2:$E$307=D170),0),0))</f>
        <v/>
      </c>
      <c r="F170" s="7">
        <f>_xlfn.MAXIFS('Raw Data'!$E$2:$E$307,'Raw Data'!$B$2:$B$307,A170)</f>
        <v/>
      </c>
      <c r="G170" s="5">
        <f>INDEX('Raw Data'!$A$2:$A$307,MATCH(1,INDEX(('Raw Data'!$B$2:$B$307=A170)*('Raw Data'!$E$2:$E$307=F170),0),0))</f>
        <v/>
      </c>
      <c r="H170" s="7">
        <f>F170-D170</f>
        <v/>
      </c>
      <c r="I170" s="5">
        <f>COUNTIF('Raw Data'!$B$2:$B$307,A170)</f>
        <v/>
      </c>
    </row>
    <row r="171">
      <c r="A171" s="5" t="n">
        <v>853778</v>
      </c>
      <c r="B171" s="6">
        <f>INDEX('Raw Data'!$D$2:$D$307,MATCH(A171,'Raw Data'!$B$2:$B$307,0))</f>
        <v/>
      </c>
      <c r="C171" s="5">
        <f>INDEX('Raw Data'!$C$2:$C$307,MATCH(A171,'Raw Data'!$B$2:$B$307,0))</f>
        <v/>
      </c>
      <c r="D171" s="7">
        <f>_xlfn.MINIFS('Raw Data'!$E$2:$E$307,'Raw Data'!$B$2:$B$307,A171)</f>
        <v/>
      </c>
      <c r="E171" s="5">
        <f>INDEX('Raw Data'!$A$2:$A$307,MATCH(1,INDEX(('Raw Data'!$B$2:$B$307=A171)*('Raw Data'!$E$2:$E$307=D171),0),0))</f>
        <v/>
      </c>
      <c r="F171" s="7">
        <f>_xlfn.MAXIFS('Raw Data'!$E$2:$E$307,'Raw Data'!$B$2:$B$307,A171)</f>
        <v/>
      </c>
      <c r="G171" s="5">
        <f>INDEX('Raw Data'!$A$2:$A$307,MATCH(1,INDEX(('Raw Data'!$B$2:$B$307=A171)*('Raw Data'!$E$2:$E$307=F171),0),0))</f>
        <v/>
      </c>
      <c r="H171" s="7">
        <f>F171-D171</f>
        <v/>
      </c>
      <c r="I171" s="5">
        <f>COUNTIF('Raw Data'!$B$2:$B$307,A171)</f>
        <v/>
      </c>
    </row>
    <row r="172">
      <c r="A172" s="5" t="n">
        <v>5005236</v>
      </c>
      <c r="B172" s="6">
        <f>INDEX('Raw Data'!$D$2:$D$307,MATCH(A172,'Raw Data'!$B$2:$B$307,0))</f>
        <v/>
      </c>
      <c r="C172" s="5">
        <f>INDEX('Raw Data'!$C$2:$C$307,MATCH(A172,'Raw Data'!$B$2:$B$307,0))</f>
        <v/>
      </c>
      <c r="D172" s="7">
        <f>_xlfn.MINIFS('Raw Data'!$E$2:$E$307,'Raw Data'!$B$2:$B$307,A172)</f>
        <v/>
      </c>
      <c r="E172" s="5">
        <f>INDEX('Raw Data'!$A$2:$A$307,MATCH(1,INDEX(('Raw Data'!$B$2:$B$307=A172)*('Raw Data'!$E$2:$E$307=D172),0),0))</f>
        <v/>
      </c>
      <c r="F172" s="7">
        <f>_xlfn.MAXIFS('Raw Data'!$E$2:$E$307,'Raw Data'!$B$2:$B$307,A172)</f>
        <v/>
      </c>
      <c r="G172" s="5">
        <f>INDEX('Raw Data'!$A$2:$A$307,MATCH(1,INDEX(('Raw Data'!$B$2:$B$307=A172)*('Raw Data'!$E$2:$E$307=F172),0),0))</f>
        <v/>
      </c>
      <c r="H172" s="7">
        <f>F172-D172</f>
        <v/>
      </c>
      <c r="I172" s="5">
        <f>COUNTIF('Raw Data'!$B$2:$B$307,A172)</f>
        <v/>
      </c>
    </row>
    <row r="174">
      <c r="A174" s="8" t="inlineStr">
        <is>
          <t>Note: 1 row with a missing ProductID was excluded from this analysis. 48 exact duplicate rows (Brickmo) were also removed. Zavvi rows are included because their prices are converted to EUR in the scraper. See 'Raw Data' tab for the cleaned dataset.</t>
        </is>
      </c>
    </row>
  </sheetData>
  <autoFilter ref="A1:I17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2026-07-26T08:31:22Z</dcterms:created>
  <dcterms:modified xmlns:dcterms="http://purl.org/dc/terms/" xmlns:xsi="http://www.w3.org/2001/XMLSchema-instance" xsi:type="dcterms:W3CDTF">2026-07-26T08:31:22Z</dcterms:modified>
</cp:coreProperties>
</file>