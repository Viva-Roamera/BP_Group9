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16835775404e6c24/Digital4Business/Business Programming/Python/Group 9 project/BP_Group9/output/"/>
    </mc:Choice>
  </mc:AlternateContent>
  <xr:revisionPtr revIDLastSave="1" documentId="11_94796344D81846352C04C137355BDA1696498092" xr6:coauthVersionLast="47" xr6:coauthVersionMax="47" xr10:uidLastSave="{493128AA-2AA3-4E7D-B918-733C391372F3}"/>
  <bookViews>
    <workbookView xWindow="-110" yWindow="-110" windowWidth="19420" windowHeight="11500" activeTab="1" xr2:uid="{00000000-000D-0000-FFFF-FFFF00000000}"/>
  </bookViews>
  <sheets>
    <sheet name="Raw Data" sheetId="1" r:id="rId1"/>
    <sheet name="PriceComparison" sheetId="2" r:id="rId2"/>
  </sheets>
  <definedNames>
    <definedName name="_xlnm._FilterDatabase" localSheetId="1" hidden="1">PriceComparison!$A$1:$I$246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6" i="2" l="1"/>
  <c r="F246" i="2"/>
  <c r="H246" i="2" s="1"/>
  <c r="D246" i="2"/>
  <c r="E246" i="2" s="1"/>
  <c r="C246" i="2"/>
  <c r="B246" i="2"/>
  <c r="I245" i="2"/>
  <c r="F245" i="2"/>
  <c r="D245" i="2"/>
  <c r="E245" i="2" s="1"/>
  <c r="C245" i="2"/>
  <c r="B245" i="2"/>
  <c r="I244" i="2"/>
  <c r="F244" i="2"/>
  <c r="D244" i="2"/>
  <c r="E244" i="2" s="1"/>
  <c r="C244" i="2"/>
  <c r="B244" i="2"/>
  <c r="I243" i="2"/>
  <c r="G243" i="2"/>
  <c r="F243" i="2"/>
  <c r="D243" i="2"/>
  <c r="E243" i="2" s="1"/>
  <c r="C243" i="2"/>
  <c r="B243" i="2"/>
  <c r="I242" i="2"/>
  <c r="F242" i="2"/>
  <c r="D242" i="2"/>
  <c r="E242" i="2" s="1"/>
  <c r="C242" i="2"/>
  <c r="B242" i="2"/>
  <c r="I241" i="2"/>
  <c r="F241" i="2"/>
  <c r="D241" i="2"/>
  <c r="E241" i="2" s="1"/>
  <c r="C241" i="2"/>
  <c r="B241" i="2"/>
  <c r="I240" i="2"/>
  <c r="F240" i="2"/>
  <c r="G240" i="2" s="1"/>
  <c r="D240" i="2"/>
  <c r="E240" i="2" s="1"/>
  <c r="C240" i="2"/>
  <c r="B240" i="2"/>
  <c r="I239" i="2"/>
  <c r="F239" i="2"/>
  <c r="H239" i="2" s="1"/>
  <c r="D239" i="2"/>
  <c r="E239" i="2" s="1"/>
  <c r="C239" i="2"/>
  <c r="B239" i="2"/>
  <c r="I238" i="2"/>
  <c r="F238" i="2"/>
  <c r="H238" i="2" s="1"/>
  <c r="E238" i="2"/>
  <c r="D238" i="2"/>
  <c r="C238" i="2"/>
  <c r="B238" i="2"/>
  <c r="I237" i="2"/>
  <c r="F237" i="2"/>
  <c r="H237" i="2" s="1"/>
  <c r="E237" i="2"/>
  <c r="D237" i="2"/>
  <c r="C237" i="2"/>
  <c r="B237" i="2"/>
  <c r="I236" i="2"/>
  <c r="F236" i="2"/>
  <c r="E236" i="2"/>
  <c r="D236" i="2"/>
  <c r="C236" i="2"/>
  <c r="B236" i="2"/>
  <c r="I235" i="2"/>
  <c r="F235" i="2"/>
  <c r="G235" i="2" s="1"/>
  <c r="D235" i="2"/>
  <c r="E235" i="2" s="1"/>
  <c r="C235" i="2"/>
  <c r="B235" i="2"/>
  <c r="I234" i="2"/>
  <c r="G234" i="2"/>
  <c r="F234" i="2"/>
  <c r="D234" i="2"/>
  <c r="E234" i="2" s="1"/>
  <c r="C234" i="2"/>
  <c r="B234" i="2"/>
  <c r="I233" i="2"/>
  <c r="F233" i="2"/>
  <c r="D233" i="2"/>
  <c r="E233" i="2" s="1"/>
  <c r="C233" i="2"/>
  <c r="B233" i="2"/>
  <c r="I232" i="2"/>
  <c r="F232" i="2"/>
  <c r="G232" i="2" s="1"/>
  <c r="E232" i="2"/>
  <c r="D232" i="2"/>
  <c r="C232" i="2"/>
  <c r="B232" i="2"/>
  <c r="I231" i="2"/>
  <c r="F231" i="2"/>
  <c r="H231" i="2" s="1"/>
  <c r="D231" i="2"/>
  <c r="E231" i="2" s="1"/>
  <c r="C231" i="2"/>
  <c r="B231" i="2"/>
  <c r="I230" i="2"/>
  <c r="G230" i="2"/>
  <c r="F230" i="2"/>
  <c r="E230" i="2"/>
  <c r="D230" i="2"/>
  <c r="C230" i="2"/>
  <c r="B230" i="2"/>
  <c r="I229" i="2"/>
  <c r="F229" i="2"/>
  <c r="D229" i="2"/>
  <c r="E229" i="2" s="1"/>
  <c r="C229" i="2"/>
  <c r="B229" i="2"/>
  <c r="I228" i="2"/>
  <c r="F228" i="2"/>
  <c r="E228" i="2"/>
  <c r="D228" i="2"/>
  <c r="C228" i="2"/>
  <c r="B228" i="2"/>
  <c r="I227" i="2"/>
  <c r="G227" i="2"/>
  <c r="F227" i="2"/>
  <c r="H227" i="2" s="1"/>
  <c r="D227" i="2"/>
  <c r="E227" i="2" s="1"/>
  <c r="C227" i="2"/>
  <c r="B227" i="2"/>
  <c r="I226" i="2"/>
  <c r="F226" i="2"/>
  <c r="H226" i="2" s="1"/>
  <c r="D226" i="2"/>
  <c r="E226" i="2" s="1"/>
  <c r="C226" i="2"/>
  <c r="B226" i="2"/>
  <c r="I225" i="2"/>
  <c r="F225" i="2"/>
  <c r="D225" i="2"/>
  <c r="E225" i="2" s="1"/>
  <c r="C225" i="2"/>
  <c r="B225" i="2"/>
  <c r="I224" i="2"/>
  <c r="G224" i="2"/>
  <c r="F224" i="2"/>
  <c r="D224" i="2"/>
  <c r="E224" i="2" s="1"/>
  <c r="C224" i="2"/>
  <c r="B224" i="2"/>
  <c r="I223" i="2"/>
  <c r="F223" i="2"/>
  <c r="D223" i="2"/>
  <c r="E223" i="2" s="1"/>
  <c r="C223" i="2"/>
  <c r="B223" i="2"/>
  <c r="I222" i="2"/>
  <c r="F222" i="2"/>
  <c r="D222" i="2"/>
  <c r="E222" i="2" s="1"/>
  <c r="C222" i="2"/>
  <c r="B222" i="2"/>
  <c r="I221" i="2"/>
  <c r="F221" i="2"/>
  <c r="D221" i="2"/>
  <c r="E221" i="2" s="1"/>
  <c r="C221" i="2"/>
  <c r="B221" i="2"/>
  <c r="I220" i="2"/>
  <c r="F220" i="2"/>
  <c r="G220" i="2" s="1"/>
  <c r="D220" i="2"/>
  <c r="E220" i="2" s="1"/>
  <c r="C220" i="2"/>
  <c r="B220" i="2"/>
  <c r="I219" i="2"/>
  <c r="F219" i="2"/>
  <c r="G219" i="2" s="1"/>
  <c r="D219" i="2"/>
  <c r="E219" i="2" s="1"/>
  <c r="C219" i="2"/>
  <c r="B219" i="2"/>
  <c r="I218" i="2"/>
  <c r="G218" i="2"/>
  <c r="F218" i="2"/>
  <c r="H218" i="2" s="1"/>
  <c r="D218" i="2"/>
  <c r="E218" i="2" s="1"/>
  <c r="C218" i="2"/>
  <c r="B218" i="2"/>
  <c r="I217" i="2"/>
  <c r="G217" i="2"/>
  <c r="F217" i="2"/>
  <c r="D217" i="2"/>
  <c r="E217" i="2" s="1"/>
  <c r="C217" i="2"/>
  <c r="B217" i="2"/>
  <c r="I216" i="2"/>
  <c r="G216" i="2"/>
  <c r="F216" i="2"/>
  <c r="E216" i="2"/>
  <c r="D216" i="2"/>
  <c r="C216" i="2"/>
  <c r="B216" i="2"/>
  <c r="I215" i="2"/>
  <c r="F215" i="2"/>
  <c r="D215" i="2"/>
  <c r="E215" i="2" s="1"/>
  <c r="C215" i="2"/>
  <c r="B215" i="2"/>
  <c r="I214" i="2"/>
  <c r="G214" i="2"/>
  <c r="F214" i="2"/>
  <c r="E214" i="2"/>
  <c r="D214" i="2"/>
  <c r="C214" i="2"/>
  <c r="B214" i="2"/>
  <c r="I213" i="2"/>
  <c r="F213" i="2"/>
  <c r="D213" i="2"/>
  <c r="E213" i="2" s="1"/>
  <c r="C213" i="2"/>
  <c r="B213" i="2"/>
  <c r="I212" i="2"/>
  <c r="F212" i="2"/>
  <c r="E212" i="2"/>
  <c r="D212" i="2"/>
  <c r="C212" i="2"/>
  <c r="B212" i="2"/>
  <c r="I211" i="2"/>
  <c r="G211" i="2"/>
  <c r="F211" i="2"/>
  <c r="H211" i="2" s="1"/>
  <c r="D211" i="2"/>
  <c r="E211" i="2" s="1"/>
  <c r="C211" i="2"/>
  <c r="B211" i="2"/>
  <c r="I210" i="2"/>
  <c r="F210" i="2"/>
  <c r="H210" i="2" s="1"/>
  <c r="D210" i="2"/>
  <c r="E210" i="2" s="1"/>
  <c r="C210" i="2"/>
  <c r="B210" i="2"/>
  <c r="I209" i="2"/>
  <c r="F209" i="2"/>
  <c r="D209" i="2"/>
  <c r="E209" i="2" s="1"/>
  <c r="C209" i="2"/>
  <c r="B209" i="2"/>
  <c r="I208" i="2"/>
  <c r="G208" i="2"/>
  <c r="F208" i="2"/>
  <c r="D208" i="2"/>
  <c r="E208" i="2" s="1"/>
  <c r="C208" i="2"/>
  <c r="B208" i="2"/>
  <c r="I207" i="2"/>
  <c r="F207" i="2"/>
  <c r="D207" i="2"/>
  <c r="E207" i="2" s="1"/>
  <c r="C207" i="2"/>
  <c r="B207" i="2"/>
  <c r="I206" i="2"/>
  <c r="F206" i="2"/>
  <c r="D206" i="2"/>
  <c r="E206" i="2" s="1"/>
  <c r="C206" i="2"/>
  <c r="B206" i="2"/>
  <c r="I205" i="2"/>
  <c r="F205" i="2"/>
  <c r="D205" i="2"/>
  <c r="E205" i="2" s="1"/>
  <c r="C205" i="2"/>
  <c r="B205" i="2"/>
  <c r="I204" i="2"/>
  <c r="F204" i="2"/>
  <c r="G204" i="2" s="1"/>
  <c r="D204" i="2"/>
  <c r="E204" i="2" s="1"/>
  <c r="C204" i="2"/>
  <c r="B204" i="2"/>
  <c r="I203" i="2"/>
  <c r="F203" i="2"/>
  <c r="G203" i="2" s="1"/>
  <c r="D203" i="2"/>
  <c r="E203" i="2" s="1"/>
  <c r="C203" i="2"/>
  <c r="B203" i="2"/>
  <c r="I202" i="2"/>
  <c r="G202" i="2"/>
  <c r="F202" i="2"/>
  <c r="H202" i="2" s="1"/>
  <c r="D202" i="2"/>
  <c r="E202" i="2" s="1"/>
  <c r="C202" i="2"/>
  <c r="B202" i="2"/>
  <c r="I201" i="2"/>
  <c r="G201" i="2"/>
  <c r="F201" i="2"/>
  <c r="D201" i="2"/>
  <c r="E201" i="2" s="1"/>
  <c r="C201" i="2"/>
  <c r="B201" i="2"/>
  <c r="I200" i="2"/>
  <c r="G200" i="2"/>
  <c r="F200" i="2"/>
  <c r="E200" i="2"/>
  <c r="D200" i="2"/>
  <c r="C200" i="2"/>
  <c r="B200" i="2"/>
  <c r="I199" i="2"/>
  <c r="F199" i="2"/>
  <c r="E199" i="2"/>
  <c r="D199" i="2"/>
  <c r="C199" i="2"/>
  <c r="B199" i="2"/>
  <c r="I198" i="2"/>
  <c r="G198" i="2"/>
  <c r="F198" i="2"/>
  <c r="E198" i="2"/>
  <c r="D198" i="2"/>
  <c r="C198" i="2"/>
  <c r="B198" i="2"/>
  <c r="I197" i="2"/>
  <c r="F197" i="2"/>
  <c r="D197" i="2"/>
  <c r="E197" i="2" s="1"/>
  <c r="C197" i="2"/>
  <c r="B197" i="2"/>
  <c r="I196" i="2"/>
  <c r="F196" i="2"/>
  <c r="E196" i="2"/>
  <c r="D196" i="2"/>
  <c r="C196" i="2"/>
  <c r="B196" i="2"/>
  <c r="I195" i="2"/>
  <c r="G195" i="2"/>
  <c r="F195" i="2"/>
  <c r="H195" i="2" s="1"/>
  <c r="D195" i="2"/>
  <c r="E195" i="2" s="1"/>
  <c r="C195" i="2"/>
  <c r="B195" i="2"/>
  <c r="I194" i="2"/>
  <c r="F194" i="2"/>
  <c r="D194" i="2"/>
  <c r="E194" i="2" s="1"/>
  <c r="C194" i="2"/>
  <c r="B194" i="2"/>
  <c r="I193" i="2"/>
  <c r="F193" i="2"/>
  <c r="D193" i="2"/>
  <c r="E193" i="2" s="1"/>
  <c r="C193" i="2"/>
  <c r="B193" i="2"/>
  <c r="I192" i="2"/>
  <c r="G192" i="2"/>
  <c r="F192" i="2"/>
  <c r="D192" i="2"/>
  <c r="E192" i="2" s="1"/>
  <c r="C192" i="2"/>
  <c r="B192" i="2"/>
  <c r="I191" i="2"/>
  <c r="F191" i="2"/>
  <c r="D191" i="2"/>
  <c r="E191" i="2" s="1"/>
  <c r="C191" i="2"/>
  <c r="B191" i="2"/>
  <c r="I190" i="2"/>
  <c r="F190" i="2"/>
  <c r="D190" i="2"/>
  <c r="E190" i="2" s="1"/>
  <c r="C190" i="2"/>
  <c r="B190" i="2"/>
  <c r="I189" i="2"/>
  <c r="F189" i="2"/>
  <c r="D189" i="2"/>
  <c r="E189" i="2" s="1"/>
  <c r="C189" i="2"/>
  <c r="B189" i="2"/>
  <c r="I188" i="2"/>
  <c r="F188" i="2"/>
  <c r="G188" i="2" s="1"/>
  <c r="D188" i="2"/>
  <c r="E188" i="2" s="1"/>
  <c r="C188" i="2"/>
  <c r="B188" i="2"/>
  <c r="I187" i="2"/>
  <c r="F187" i="2"/>
  <c r="G187" i="2" s="1"/>
  <c r="D187" i="2"/>
  <c r="E187" i="2" s="1"/>
  <c r="C187" i="2"/>
  <c r="B187" i="2"/>
  <c r="I186" i="2"/>
  <c r="G186" i="2"/>
  <c r="F186" i="2"/>
  <c r="H186" i="2" s="1"/>
  <c r="D186" i="2"/>
  <c r="E186" i="2" s="1"/>
  <c r="C186" i="2"/>
  <c r="B186" i="2"/>
  <c r="I185" i="2"/>
  <c r="G185" i="2"/>
  <c r="F185" i="2"/>
  <c r="D185" i="2"/>
  <c r="E185" i="2" s="1"/>
  <c r="C185" i="2"/>
  <c r="B185" i="2"/>
  <c r="I184" i="2"/>
  <c r="G184" i="2"/>
  <c r="F184" i="2"/>
  <c r="E184" i="2"/>
  <c r="D184" i="2"/>
  <c r="C184" i="2"/>
  <c r="B184" i="2"/>
  <c r="I183" i="2"/>
  <c r="F183" i="2"/>
  <c r="E183" i="2"/>
  <c r="D183" i="2"/>
  <c r="C183" i="2"/>
  <c r="B183" i="2"/>
  <c r="I182" i="2"/>
  <c r="G182" i="2"/>
  <c r="F182" i="2"/>
  <c r="E182" i="2"/>
  <c r="D182" i="2"/>
  <c r="C182" i="2"/>
  <c r="B182" i="2"/>
  <c r="I181" i="2"/>
  <c r="F181" i="2"/>
  <c r="G181" i="2" s="1"/>
  <c r="D181" i="2"/>
  <c r="E181" i="2" s="1"/>
  <c r="C181" i="2"/>
  <c r="B181" i="2"/>
  <c r="I180" i="2"/>
  <c r="F180" i="2"/>
  <c r="D180" i="2"/>
  <c r="E180" i="2" s="1"/>
  <c r="C180" i="2"/>
  <c r="B180" i="2"/>
  <c r="I179" i="2"/>
  <c r="G179" i="2"/>
  <c r="F179" i="2"/>
  <c r="H179" i="2" s="1"/>
  <c r="E179" i="2"/>
  <c r="D179" i="2"/>
  <c r="C179" i="2"/>
  <c r="B179" i="2"/>
  <c r="I178" i="2"/>
  <c r="F178" i="2"/>
  <c r="D178" i="2"/>
  <c r="E178" i="2" s="1"/>
  <c r="C178" i="2"/>
  <c r="B178" i="2"/>
  <c r="I177" i="2"/>
  <c r="F177" i="2"/>
  <c r="E177" i="2"/>
  <c r="D177" i="2"/>
  <c r="C177" i="2"/>
  <c r="B177" i="2"/>
  <c r="I176" i="2"/>
  <c r="G176" i="2"/>
  <c r="F176" i="2"/>
  <c r="D176" i="2"/>
  <c r="E176" i="2" s="1"/>
  <c r="C176" i="2"/>
  <c r="B176" i="2"/>
  <c r="I175" i="2"/>
  <c r="F175" i="2"/>
  <c r="D175" i="2"/>
  <c r="E175" i="2" s="1"/>
  <c r="C175" i="2"/>
  <c r="B175" i="2"/>
  <c r="I174" i="2"/>
  <c r="F174" i="2"/>
  <c r="H174" i="2" s="1"/>
  <c r="D174" i="2"/>
  <c r="E174" i="2" s="1"/>
  <c r="C174" i="2"/>
  <c r="B174" i="2"/>
  <c r="I173" i="2"/>
  <c r="G173" i="2"/>
  <c r="F173" i="2"/>
  <c r="D173" i="2"/>
  <c r="E173" i="2" s="1"/>
  <c r="C173" i="2"/>
  <c r="B173" i="2"/>
  <c r="I172" i="2"/>
  <c r="F172" i="2"/>
  <c r="G172" i="2" s="1"/>
  <c r="D172" i="2"/>
  <c r="E172" i="2" s="1"/>
  <c r="C172" i="2"/>
  <c r="B172" i="2"/>
  <c r="I171" i="2"/>
  <c r="F171" i="2"/>
  <c r="D171" i="2"/>
  <c r="E171" i="2" s="1"/>
  <c r="C171" i="2"/>
  <c r="B171" i="2"/>
  <c r="I170" i="2"/>
  <c r="G170" i="2"/>
  <c r="F170" i="2"/>
  <c r="D170" i="2"/>
  <c r="H170" i="2" s="1"/>
  <c r="C170" i="2"/>
  <c r="B170" i="2"/>
  <c r="I169" i="2"/>
  <c r="F169" i="2"/>
  <c r="E169" i="2"/>
  <c r="D169" i="2"/>
  <c r="C169" i="2"/>
  <c r="B169" i="2"/>
  <c r="I168" i="2"/>
  <c r="F168" i="2"/>
  <c r="D168" i="2"/>
  <c r="E168" i="2" s="1"/>
  <c r="C168" i="2"/>
  <c r="B168" i="2"/>
  <c r="I167" i="2"/>
  <c r="F167" i="2"/>
  <c r="G167" i="2" s="1"/>
  <c r="D167" i="2"/>
  <c r="E167" i="2" s="1"/>
  <c r="C167" i="2"/>
  <c r="B167" i="2"/>
  <c r="I166" i="2"/>
  <c r="H166" i="2"/>
  <c r="F166" i="2"/>
  <c r="G166" i="2" s="1"/>
  <c r="E166" i="2"/>
  <c r="D166" i="2"/>
  <c r="C166" i="2"/>
  <c r="B166" i="2"/>
  <c r="I165" i="2"/>
  <c r="F165" i="2"/>
  <c r="D165" i="2"/>
  <c r="E165" i="2" s="1"/>
  <c r="C165" i="2"/>
  <c r="B165" i="2"/>
  <c r="I164" i="2"/>
  <c r="F164" i="2"/>
  <c r="G164" i="2" s="1"/>
  <c r="D164" i="2"/>
  <c r="E164" i="2" s="1"/>
  <c r="C164" i="2"/>
  <c r="B164" i="2"/>
  <c r="I163" i="2"/>
  <c r="G163" i="2"/>
  <c r="F163" i="2"/>
  <c r="E163" i="2"/>
  <c r="D163" i="2"/>
  <c r="C163" i="2"/>
  <c r="B163" i="2"/>
  <c r="I162" i="2"/>
  <c r="F162" i="2"/>
  <c r="E162" i="2"/>
  <c r="D162" i="2"/>
  <c r="C162" i="2"/>
  <c r="B162" i="2"/>
  <c r="I161" i="2"/>
  <c r="G161" i="2"/>
  <c r="F161" i="2"/>
  <c r="D161" i="2"/>
  <c r="E161" i="2" s="1"/>
  <c r="C161" i="2"/>
  <c r="B161" i="2"/>
  <c r="I160" i="2"/>
  <c r="G160" i="2"/>
  <c r="F160" i="2"/>
  <c r="D160" i="2"/>
  <c r="H160" i="2" s="1"/>
  <c r="C160" i="2"/>
  <c r="B160" i="2"/>
  <c r="I159" i="2"/>
  <c r="F159" i="2"/>
  <c r="H159" i="2" s="1"/>
  <c r="D159" i="2"/>
  <c r="E159" i="2" s="1"/>
  <c r="C159" i="2"/>
  <c r="B159" i="2"/>
  <c r="I158" i="2"/>
  <c r="F158" i="2"/>
  <c r="G158" i="2" s="1"/>
  <c r="D158" i="2"/>
  <c r="E158" i="2" s="1"/>
  <c r="C158" i="2"/>
  <c r="B158" i="2"/>
  <c r="I157" i="2"/>
  <c r="F157" i="2"/>
  <c r="D157" i="2"/>
  <c r="E157" i="2" s="1"/>
  <c r="C157" i="2"/>
  <c r="B157" i="2"/>
  <c r="I156" i="2"/>
  <c r="F156" i="2"/>
  <c r="D156" i="2"/>
  <c r="E156" i="2" s="1"/>
  <c r="C156" i="2"/>
  <c r="B156" i="2"/>
  <c r="I155" i="2"/>
  <c r="F155" i="2"/>
  <c r="G155" i="2" s="1"/>
  <c r="D155" i="2"/>
  <c r="E155" i="2" s="1"/>
  <c r="C155" i="2"/>
  <c r="B155" i="2"/>
  <c r="I154" i="2"/>
  <c r="F154" i="2"/>
  <c r="D154" i="2"/>
  <c r="E154" i="2" s="1"/>
  <c r="C154" i="2"/>
  <c r="B154" i="2"/>
  <c r="I153" i="2"/>
  <c r="F153" i="2"/>
  <c r="D153" i="2"/>
  <c r="E153" i="2" s="1"/>
  <c r="C153" i="2"/>
  <c r="B153" i="2"/>
  <c r="I152" i="2"/>
  <c r="F152" i="2"/>
  <c r="G152" i="2" s="1"/>
  <c r="E152" i="2"/>
  <c r="D152" i="2"/>
  <c r="C152" i="2"/>
  <c r="B152" i="2"/>
  <c r="I151" i="2"/>
  <c r="G151" i="2"/>
  <c r="F151" i="2"/>
  <c r="H151" i="2" s="1"/>
  <c r="D151" i="2"/>
  <c r="E151" i="2" s="1"/>
  <c r="C151" i="2"/>
  <c r="B151" i="2"/>
  <c r="I150" i="2"/>
  <c r="G150" i="2"/>
  <c r="F150" i="2"/>
  <c r="H150" i="2" s="1"/>
  <c r="D150" i="2"/>
  <c r="E150" i="2" s="1"/>
  <c r="C150" i="2"/>
  <c r="B150" i="2"/>
  <c r="I149" i="2"/>
  <c r="F149" i="2"/>
  <c r="H149" i="2" s="1"/>
  <c r="D149" i="2"/>
  <c r="E149" i="2" s="1"/>
  <c r="C149" i="2"/>
  <c r="B149" i="2"/>
  <c r="I148" i="2"/>
  <c r="F148" i="2"/>
  <c r="D148" i="2"/>
  <c r="E148" i="2" s="1"/>
  <c r="C148" i="2"/>
  <c r="B148" i="2"/>
  <c r="I147" i="2"/>
  <c r="F147" i="2"/>
  <c r="D147" i="2"/>
  <c r="E147" i="2" s="1"/>
  <c r="C147" i="2"/>
  <c r="B147" i="2"/>
  <c r="I146" i="2"/>
  <c r="F146" i="2"/>
  <c r="H146" i="2" s="1"/>
  <c r="E146" i="2"/>
  <c r="D146" i="2"/>
  <c r="C146" i="2"/>
  <c r="B146" i="2"/>
  <c r="I145" i="2"/>
  <c r="F145" i="2"/>
  <c r="G145" i="2" s="1"/>
  <c r="E145" i="2"/>
  <c r="D145" i="2"/>
  <c r="C145" i="2"/>
  <c r="B145" i="2"/>
  <c r="I144" i="2"/>
  <c r="F144" i="2"/>
  <c r="D144" i="2"/>
  <c r="E144" i="2" s="1"/>
  <c r="C144" i="2"/>
  <c r="B144" i="2"/>
  <c r="I143" i="2"/>
  <c r="F143" i="2"/>
  <c r="D143" i="2"/>
  <c r="E143" i="2" s="1"/>
  <c r="C143" i="2"/>
  <c r="B143" i="2"/>
  <c r="I142" i="2"/>
  <c r="F142" i="2"/>
  <c r="H142" i="2" s="1"/>
  <c r="E142" i="2"/>
  <c r="D142" i="2"/>
  <c r="C142" i="2"/>
  <c r="B142" i="2"/>
  <c r="I141" i="2"/>
  <c r="F141" i="2"/>
  <c r="D141" i="2"/>
  <c r="E141" i="2" s="1"/>
  <c r="C141" i="2"/>
  <c r="B141" i="2"/>
  <c r="I140" i="2"/>
  <c r="F140" i="2"/>
  <c r="G140" i="2" s="1"/>
  <c r="D140" i="2"/>
  <c r="E140" i="2" s="1"/>
  <c r="C140" i="2"/>
  <c r="B140" i="2"/>
  <c r="I139" i="2"/>
  <c r="F139" i="2"/>
  <c r="D139" i="2"/>
  <c r="E139" i="2" s="1"/>
  <c r="C139" i="2"/>
  <c r="B139" i="2"/>
  <c r="I138" i="2"/>
  <c r="F138" i="2"/>
  <c r="G138" i="2" s="1"/>
  <c r="D138" i="2"/>
  <c r="C138" i="2"/>
  <c r="B138" i="2"/>
  <c r="I137" i="2"/>
  <c r="F137" i="2"/>
  <c r="D137" i="2"/>
  <c r="E137" i="2" s="1"/>
  <c r="C137" i="2"/>
  <c r="B137" i="2"/>
  <c r="I136" i="2"/>
  <c r="F136" i="2"/>
  <c r="G136" i="2" s="1"/>
  <c r="D136" i="2"/>
  <c r="E136" i="2" s="1"/>
  <c r="C136" i="2"/>
  <c r="B136" i="2"/>
  <c r="I135" i="2"/>
  <c r="G135" i="2"/>
  <c r="F135" i="2"/>
  <c r="D135" i="2"/>
  <c r="E135" i="2" s="1"/>
  <c r="C135" i="2"/>
  <c r="B135" i="2"/>
  <c r="I134" i="2"/>
  <c r="G134" i="2"/>
  <c r="F134" i="2"/>
  <c r="H134" i="2" s="1"/>
  <c r="D134" i="2"/>
  <c r="E134" i="2" s="1"/>
  <c r="C134" i="2"/>
  <c r="B134" i="2"/>
  <c r="I133" i="2"/>
  <c r="F133" i="2"/>
  <c r="D133" i="2"/>
  <c r="E133" i="2" s="1"/>
  <c r="C133" i="2"/>
  <c r="B133" i="2"/>
  <c r="I132" i="2"/>
  <c r="F132" i="2"/>
  <c r="D132" i="2"/>
  <c r="E132" i="2" s="1"/>
  <c r="C132" i="2"/>
  <c r="B132" i="2"/>
  <c r="I131" i="2"/>
  <c r="G131" i="2"/>
  <c r="F131" i="2"/>
  <c r="E131" i="2"/>
  <c r="D131" i="2"/>
  <c r="C131" i="2"/>
  <c r="B131" i="2"/>
  <c r="I130" i="2"/>
  <c r="F130" i="2"/>
  <c r="G130" i="2" s="1"/>
  <c r="E130" i="2"/>
  <c r="D130" i="2"/>
  <c r="C130" i="2"/>
  <c r="B130" i="2"/>
  <c r="I129" i="2"/>
  <c r="F129" i="2"/>
  <c r="D129" i="2"/>
  <c r="E129" i="2" s="1"/>
  <c r="C129" i="2"/>
  <c r="B129" i="2"/>
  <c r="I128" i="2"/>
  <c r="G128" i="2"/>
  <c r="F128" i="2"/>
  <c r="D128" i="2"/>
  <c r="C128" i="2"/>
  <c r="B128" i="2"/>
  <c r="I127" i="2"/>
  <c r="F127" i="2"/>
  <c r="H127" i="2" s="1"/>
  <c r="D127" i="2"/>
  <c r="E127" i="2" s="1"/>
  <c r="C127" i="2"/>
  <c r="B127" i="2"/>
  <c r="I126" i="2"/>
  <c r="F126" i="2"/>
  <c r="G126" i="2" s="1"/>
  <c r="D126" i="2"/>
  <c r="E126" i="2" s="1"/>
  <c r="C126" i="2"/>
  <c r="B126" i="2"/>
  <c r="I125" i="2"/>
  <c r="F125" i="2"/>
  <c r="D125" i="2"/>
  <c r="E125" i="2" s="1"/>
  <c r="C125" i="2"/>
  <c r="B125" i="2"/>
  <c r="I124" i="2"/>
  <c r="G124" i="2"/>
  <c r="F124" i="2"/>
  <c r="D124" i="2"/>
  <c r="E124" i="2" s="1"/>
  <c r="C124" i="2"/>
  <c r="B124" i="2"/>
  <c r="I123" i="2"/>
  <c r="G123" i="2"/>
  <c r="F123" i="2"/>
  <c r="D123" i="2"/>
  <c r="E123" i="2" s="1"/>
  <c r="C123" i="2"/>
  <c r="B123" i="2"/>
  <c r="I122" i="2"/>
  <c r="F122" i="2"/>
  <c r="D122" i="2"/>
  <c r="E122" i="2" s="1"/>
  <c r="C122" i="2"/>
  <c r="B122" i="2"/>
  <c r="I121" i="2"/>
  <c r="F121" i="2"/>
  <c r="D121" i="2"/>
  <c r="E121" i="2" s="1"/>
  <c r="C121" i="2"/>
  <c r="B121" i="2"/>
  <c r="I120" i="2"/>
  <c r="H120" i="2"/>
  <c r="F120" i="2"/>
  <c r="G120" i="2" s="1"/>
  <c r="E120" i="2"/>
  <c r="D120" i="2"/>
  <c r="C120" i="2"/>
  <c r="B120" i="2"/>
  <c r="I119" i="2"/>
  <c r="F119" i="2"/>
  <c r="H119" i="2" s="1"/>
  <c r="E119" i="2"/>
  <c r="D119" i="2"/>
  <c r="C119" i="2"/>
  <c r="B119" i="2"/>
  <c r="I118" i="2"/>
  <c r="F118" i="2"/>
  <c r="G118" i="2" s="1"/>
  <c r="D118" i="2"/>
  <c r="E118" i="2" s="1"/>
  <c r="C118" i="2"/>
  <c r="B118" i="2"/>
  <c r="I117" i="2"/>
  <c r="F117" i="2"/>
  <c r="G117" i="2" s="1"/>
  <c r="D117" i="2"/>
  <c r="E117" i="2" s="1"/>
  <c r="C117" i="2"/>
  <c r="B117" i="2"/>
  <c r="I116" i="2"/>
  <c r="F116" i="2"/>
  <c r="D116" i="2"/>
  <c r="E116" i="2" s="1"/>
  <c r="C116" i="2"/>
  <c r="B116" i="2"/>
  <c r="I115" i="2"/>
  <c r="F115" i="2"/>
  <c r="E115" i="2"/>
  <c r="D115" i="2"/>
  <c r="C115" i="2"/>
  <c r="B115" i="2"/>
  <c r="I114" i="2"/>
  <c r="G114" i="2"/>
  <c r="F114" i="2"/>
  <c r="H114" i="2" s="1"/>
  <c r="E114" i="2"/>
  <c r="D114" i="2"/>
  <c r="C114" i="2"/>
  <c r="B114" i="2"/>
  <c r="I113" i="2"/>
  <c r="G113" i="2"/>
  <c r="F113" i="2"/>
  <c r="D113" i="2"/>
  <c r="E113" i="2" s="1"/>
  <c r="C113" i="2"/>
  <c r="B113" i="2"/>
  <c r="I112" i="2"/>
  <c r="F112" i="2"/>
  <c r="D112" i="2"/>
  <c r="E112" i="2" s="1"/>
  <c r="C112" i="2"/>
  <c r="B112" i="2"/>
  <c r="I111" i="2"/>
  <c r="F111" i="2"/>
  <c r="D111" i="2"/>
  <c r="E111" i="2" s="1"/>
  <c r="C111" i="2"/>
  <c r="B111" i="2"/>
  <c r="I110" i="2"/>
  <c r="F110" i="2"/>
  <c r="D110" i="2"/>
  <c r="E110" i="2" s="1"/>
  <c r="C110" i="2"/>
  <c r="B110" i="2"/>
  <c r="I109" i="2"/>
  <c r="G109" i="2"/>
  <c r="F109" i="2"/>
  <c r="D109" i="2"/>
  <c r="E109" i="2" s="1"/>
  <c r="C109" i="2"/>
  <c r="B109" i="2"/>
  <c r="I108" i="2"/>
  <c r="F108" i="2"/>
  <c r="G108" i="2" s="1"/>
  <c r="D108" i="2"/>
  <c r="E108" i="2" s="1"/>
  <c r="C108" i="2"/>
  <c r="B108" i="2"/>
  <c r="I107" i="2"/>
  <c r="F107" i="2"/>
  <c r="D107" i="2"/>
  <c r="E107" i="2" s="1"/>
  <c r="C107" i="2"/>
  <c r="B107" i="2"/>
  <c r="I106" i="2"/>
  <c r="F106" i="2"/>
  <c r="G106" i="2" s="1"/>
  <c r="D106" i="2"/>
  <c r="H106" i="2" s="1"/>
  <c r="C106" i="2"/>
  <c r="B106" i="2"/>
  <c r="I105" i="2"/>
  <c r="F105" i="2"/>
  <c r="D105" i="2"/>
  <c r="E105" i="2" s="1"/>
  <c r="C105" i="2"/>
  <c r="B105" i="2"/>
  <c r="I104" i="2"/>
  <c r="F104" i="2"/>
  <c r="G104" i="2" s="1"/>
  <c r="D104" i="2"/>
  <c r="E104" i="2" s="1"/>
  <c r="C104" i="2"/>
  <c r="B104" i="2"/>
  <c r="I103" i="2"/>
  <c r="G103" i="2"/>
  <c r="F103" i="2"/>
  <c r="D103" i="2"/>
  <c r="E103" i="2" s="1"/>
  <c r="C103" i="2"/>
  <c r="B103" i="2"/>
  <c r="I102" i="2"/>
  <c r="H102" i="2"/>
  <c r="G102" i="2"/>
  <c r="F102" i="2"/>
  <c r="E102" i="2"/>
  <c r="D102" i="2"/>
  <c r="C102" i="2"/>
  <c r="B102" i="2"/>
  <c r="I101" i="2"/>
  <c r="F101" i="2"/>
  <c r="D101" i="2"/>
  <c r="E101" i="2" s="1"/>
  <c r="C101" i="2"/>
  <c r="B101" i="2"/>
  <c r="I100" i="2"/>
  <c r="F100" i="2"/>
  <c r="H100" i="2" s="1"/>
  <c r="D100" i="2"/>
  <c r="E100" i="2" s="1"/>
  <c r="C100" i="2"/>
  <c r="B100" i="2"/>
  <c r="I99" i="2"/>
  <c r="F99" i="2"/>
  <c r="G99" i="2" s="1"/>
  <c r="E99" i="2"/>
  <c r="D99" i="2"/>
  <c r="C99" i="2"/>
  <c r="B99" i="2"/>
  <c r="I98" i="2"/>
  <c r="F98" i="2"/>
  <c r="G98" i="2" s="1"/>
  <c r="E98" i="2"/>
  <c r="D98" i="2"/>
  <c r="C98" i="2"/>
  <c r="B98" i="2"/>
  <c r="I97" i="2"/>
  <c r="F97" i="2"/>
  <c r="D97" i="2"/>
  <c r="E97" i="2" s="1"/>
  <c r="C97" i="2"/>
  <c r="B97" i="2"/>
  <c r="I96" i="2"/>
  <c r="G96" i="2"/>
  <c r="F96" i="2"/>
  <c r="E96" i="2"/>
  <c r="D96" i="2"/>
  <c r="H96" i="2" s="1"/>
  <c r="C96" i="2"/>
  <c r="B96" i="2"/>
  <c r="I95" i="2"/>
  <c r="F95" i="2"/>
  <c r="E95" i="2"/>
  <c r="D95" i="2"/>
  <c r="C95" i="2"/>
  <c r="B95" i="2"/>
  <c r="I94" i="2"/>
  <c r="F94" i="2"/>
  <c r="G94" i="2" s="1"/>
  <c r="D94" i="2"/>
  <c r="E94" i="2" s="1"/>
  <c r="C94" i="2"/>
  <c r="B94" i="2"/>
  <c r="I93" i="2"/>
  <c r="F93" i="2"/>
  <c r="D93" i="2"/>
  <c r="E93" i="2" s="1"/>
  <c r="C93" i="2"/>
  <c r="B93" i="2"/>
  <c r="I92" i="2"/>
  <c r="G92" i="2"/>
  <c r="F92" i="2"/>
  <c r="H92" i="2" s="1"/>
  <c r="D92" i="2"/>
  <c r="E92" i="2" s="1"/>
  <c r="C92" i="2"/>
  <c r="B92" i="2"/>
  <c r="I91" i="2"/>
  <c r="G91" i="2"/>
  <c r="F91" i="2"/>
  <c r="D91" i="2"/>
  <c r="E91" i="2" s="1"/>
  <c r="C91" i="2"/>
  <c r="B91" i="2"/>
  <c r="I90" i="2"/>
  <c r="F90" i="2"/>
  <c r="D90" i="2"/>
  <c r="E90" i="2" s="1"/>
  <c r="C90" i="2"/>
  <c r="B90" i="2"/>
  <c r="I89" i="2"/>
  <c r="F89" i="2"/>
  <c r="D89" i="2"/>
  <c r="E89" i="2" s="1"/>
  <c r="C89" i="2"/>
  <c r="B89" i="2"/>
  <c r="I88" i="2"/>
  <c r="H88" i="2"/>
  <c r="F88" i="2"/>
  <c r="G88" i="2" s="1"/>
  <c r="D88" i="2"/>
  <c r="E88" i="2" s="1"/>
  <c r="C88" i="2"/>
  <c r="B88" i="2"/>
  <c r="I87" i="2"/>
  <c r="G87" i="2"/>
  <c r="F87" i="2"/>
  <c r="E87" i="2"/>
  <c r="D87" i="2"/>
  <c r="C87" i="2"/>
  <c r="B87" i="2"/>
  <c r="I86" i="2"/>
  <c r="G86" i="2"/>
  <c r="F86" i="2"/>
  <c r="D86" i="2"/>
  <c r="E86" i="2" s="1"/>
  <c r="C86" i="2"/>
  <c r="B86" i="2"/>
  <c r="I85" i="2"/>
  <c r="F85" i="2"/>
  <c r="D85" i="2"/>
  <c r="E85" i="2" s="1"/>
  <c r="C85" i="2"/>
  <c r="B85" i="2"/>
  <c r="I84" i="2"/>
  <c r="H84" i="2"/>
  <c r="F84" i="2"/>
  <c r="G84" i="2" s="1"/>
  <c r="D84" i="2"/>
  <c r="E84" i="2" s="1"/>
  <c r="C84" i="2"/>
  <c r="B84" i="2"/>
  <c r="I83" i="2"/>
  <c r="F83" i="2"/>
  <c r="E83" i="2"/>
  <c r="D83" i="2"/>
  <c r="C83" i="2"/>
  <c r="B83" i="2"/>
  <c r="I82" i="2"/>
  <c r="F82" i="2"/>
  <c r="H82" i="2" s="1"/>
  <c r="D82" i="2"/>
  <c r="E82" i="2" s="1"/>
  <c r="C82" i="2"/>
  <c r="B82" i="2"/>
  <c r="I81" i="2"/>
  <c r="F81" i="2"/>
  <c r="G81" i="2" s="1"/>
  <c r="D81" i="2"/>
  <c r="E81" i="2" s="1"/>
  <c r="C81" i="2"/>
  <c r="B81" i="2"/>
  <c r="I80" i="2"/>
  <c r="F80" i="2"/>
  <c r="D80" i="2"/>
  <c r="E80" i="2" s="1"/>
  <c r="C80" i="2"/>
  <c r="B80" i="2"/>
  <c r="I79" i="2"/>
  <c r="F79" i="2"/>
  <c r="D79" i="2"/>
  <c r="E79" i="2" s="1"/>
  <c r="C79" i="2"/>
  <c r="B79" i="2"/>
  <c r="I78" i="2"/>
  <c r="F78" i="2"/>
  <c r="H78" i="2" s="1"/>
  <c r="E78" i="2"/>
  <c r="D78" i="2"/>
  <c r="C78" i="2"/>
  <c r="B78" i="2"/>
  <c r="I77" i="2"/>
  <c r="G77" i="2"/>
  <c r="F77" i="2"/>
  <c r="H77" i="2" s="1"/>
  <c r="D77" i="2"/>
  <c r="E77" i="2" s="1"/>
  <c r="C77" i="2"/>
  <c r="B77" i="2"/>
  <c r="I76" i="2"/>
  <c r="F76" i="2"/>
  <c r="G76" i="2" s="1"/>
  <c r="D76" i="2"/>
  <c r="E76" i="2" s="1"/>
  <c r="C76" i="2"/>
  <c r="B76" i="2"/>
  <c r="I75" i="2"/>
  <c r="F75" i="2"/>
  <c r="H75" i="2" s="1"/>
  <c r="E75" i="2"/>
  <c r="D75" i="2"/>
  <c r="C75" i="2"/>
  <c r="B75" i="2"/>
  <c r="I74" i="2"/>
  <c r="F74" i="2"/>
  <c r="G74" i="2" s="1"/>
  <c r="D74" i="2"/>
  <c r="E74" i="2" s="1"/>
  <c r="C74" i="2"/>
  <c r="B74" i="2"/>
  <c r="I73" i="2"/>
  <c r="F73" i="2"/>
  <c r="H73" i="2" s="1"/>
  <c r="E73" i="2"/>
  <c r="D73" i="2"/>
  <c r="C73" i="2"/>
  <c r="B73" i="2"/>
  <c r="I72" i="2"/>
  <c r="H72" i="2"/>
  <c r="F72" i="2"/>
  <c r="G72" i="2" s="1"/>
  <c r="D72" i="2"/>
  <c r="E72" i="2" s="1"/>
  <c r="C72" i="2"/>
  <c r="B72" i="2"/>
  <c r="I71" i="2"/>
  <c r="G71" i="2"/>
  <c r="F71" i="2"/>
  <c r="H71" i="2" s="1"/>
  <c r="E71" i="2"/>
  <c r="D71" i="2"/>
  <c r="C71" i="2"/>
  <c r="B71" i="2"/>
  <c r="I70" i="2"/>
  <c r="F70" i="2"/>
  <c r="G70" i="2" s="1"/>
  <c r="D70" i="2"/>
  <c r="E70" i="2" s="1"/>
  <c r="C70" i="2"/>
  <c r="B70" i="2"/>
  <c r="I69" i="2"/>
  <c r="G69" i="2"/>
  <c r="F69" i="2"/>
  <c r="E69" i="2"/>
  <c r="D69" i="2"/>
  <c r="C69" i="2"/>
  <c r="B69" i="2"/>
  <c r="I68" i="2"/>
  <c r="F68" i="2"/>
  <c r="G68" i="2" s="1"/>
  <c r="D68" i="2"/>
  <c r="E68" i="2" s="1"/>
  <c r="C68" i="2"/>
  <c r="B68" i="2"/>
  <c r="I67" i="2"/>
  <c r="F67" i="2"/>
  <c r="H67" i="2" s="1"/>
  <c r="E67" i="2"/>
  <c r="D67" i="2"/>
  <c r="C67" i="2"/>
  <c r="B67" i="2"/>
  <c r="I66" i="2"/>
  <c r="H66" i="2"/>
  <c r="F66" i="2"/>
  <c r="G66" i="2" s="1"/>
  <c r="D66" i="2"/>
  <c r="E66" i="2" s="1"/>
  <c r="C66" i="2"/>
  <c r="B66" i="2"/>
  <c r="I65" i="2"/>
  <c r="F65" i="2"/>
  <c r="H65" i="2" s="1"/>
  <c r="E65" i="2"/>
  <c r="D65" i="2"/>
  <c r="C65" i="2"/>
  <c r="B65" i="2"/>
  <c r="I64" i="2"/>
  <c r="F64" i="2"/>
  <c r="G64" i="2" s="1"/>
  <c r="D64" i="2"/>
  <c r="E64" i="2" s="1"/>
  <c r="C64" i="2"/>
  <c r="B64" i="2"/>
  <c r="I63" i="2"/>
  <c r="G63" i="2"/>
  <c r="F63" i="2"/>
  <c r="D63" i="2"/>
  <c r="E63" i="2" s="1"/>
  <c r="C63" i="2"/>
  <c r="B63" i="2"/>
  <c r="I62" i="2"/>
  <c r="F62" i="2"/>
  <c r="G62" i="2" s="1"/>
  <c r="D62" i="2"/>
  <c r="E62" i="2" s="1"/>
  <c r="C62" i="2"/>
  <c r="B62" i="2"/>
  <c r="I61" i="2"/>
  <c r="G61" i="2"/>
  <c r="F61" i="2"/>
  <c r="E61" i="2"/>
  <c r="D61" i="2"/>
  <c r="C61" i="2"/>
  <c r="B61" i="2"/>
  <c r="I60" i="2"/>
  <c r="F60" i="2"/>
  <c r="G60" i="2" s="1"/>
  <c r="D60" i="2"/>
  <c r="E60" i="2" s="1"/>
  <c r="C60" i="2"/>
  <c r="B60" i="2"/>
  <c r="I59" i="2"/>
  <c r="G59" i="2"/>
  <c r="F59" i="2"/>
  <c r="H59" i="2" s="1"/>
  <c r="E59" i="2"/>
  <c r="D59" i="2"/>
  <c r="C59" i="2"/>
  <c r="B59" i="2"/>
  <c r="I58" i="2"/>
  <c r="H58" i="2"/>
  <c r="F58" i="2"/>
  <c r="G58" i="2" s="1"/>
  <c r="D58" i="2"/>
  <c r="E58" i="2" s="1"/>
  <c r="C58" i="2"/>
  <c r="B58" i="2"/>
  <c r="I57" i="2"/>
  <c r="G57" i="2"/>
  <c r="F57" i="2"/>
  <c r="H57" i="2" s="1"/>
  <c r="D57" i="2"/>
  <c r="E57" i="2" s="1"/>
  <c r="C57" i="2"/>
  <c r="B57" i="2"/>
  <c r="I56" i="2"/>
  <c r="F56" i="2"/>
  <c r="G56" i="2" s="1"/>
  <c r="D56" i="2"/>
  <c r="E56" i="2" s="1"/>
  <c r="C56" i="2"/>
  <c r="B56" i="2"/>
  <c r="I55" i="2"/>
  <c r="F55" i="2"/>
  <c r="D55" i="2"/>
  <c r="E55" i="2" s="1"/>
  <c r="C55" i="2"/>
  <c r="B55" i="2"/>
  <c r="I54" i="2"/>
  <c r="F54" i="2"/>
  <c r="G54" i="2" s="1"/>
  <c r="D54" i="2"/>
  <c r="E54" i="2" s="1"/>
  <c r="C54" i="2"/>
  <c r="B54" i="2"/>
  <c r="I53" i="2"/>
  <c r="G53" i="2"/>
  <c r="F53" i="2"/>
  <c r="H53" i="2" s="1"/>
  <c r="E53" i="2"/>
  <c r="D53" i="2"/>
  <c r="C53" i="2"/>
  <c r="B53" i="2"/>
  <c r="I52" i="2"/>
  <c r="F52" i="2"/>
  <c r="G52" i="2" s="1"/>
  <c r="D52" i="2"/>
  <c r="E52" i="2" s="1"/>
  <c r="C52" i="2"/>
  <c r="B52" i="2"/>
  <c r="I51" i="2"/>
  <c r="G51" i="2"/>
  <c r="F51" i="2"/>
  <c r="E51" i="2"/>
  <c r="D51" i="2"/>
  <c r="C51" i="2"/>
  <c r="B51" i="2"/>
  <c r="I50" i="2"/>
  <c r="F50" i="2"/>
  <c r="G50" i="2" s="1"/>
  <c r="D50" i="2"/>
  <c r="E50" i="2" s="1"/>
  <c r="C50" i="2"/>
  <c r="B50" i="2"/>
  <c r="I49" i="2"/>
  <c r="F49" i="2"/>
  <c r="H49" i="2" s="1"/>
  <c r="E49" i="2"/>
  <c r="D49" i="2"/>
  <c r="C49" i="2"/>
  <c r="B49" i="2"/>
  <c r="I48" i="2"/>
  <c r="F48" i="2"/>
  <c r="G48" i="2" s="1"/>
  <c r="D48" i="2"/>
  <c r="E48" i="2" s="1"/>
  <c r="C48" i="2"/>
  <c r="B48" i="2"/>
  <c r="I47" i="2"/>
  <c r="G47" i="2"/>
  <c r="F47" i="2"/>
  <c r="E47" i="2"/>
  <c r="D47" i="2"/>
  <c r="C47" i="2"/>
  <c r="B47" i="2"/>
  <c r="I46" i="2"/>
  <c r="F46" i="2"/>
  <c r="G46" i="2" s="1"/>
  <c r="D46" i="2"/>
  <c r="E46" i="2" s="1"/>
  <c r="C46" i="2"/>
  <c r="B46" i="2"/>
  <c r="I45" i="2"/>
  <c r="G45" i="2"/>
  <c r="F45" i="2"/>
  <c r="D45" i="2"/>
  <c r="E45" i="2" s="1"/>
  <c r="C45" i="2"/>
  <c r="B45" i="2"/>
  <c r="I44" i="2"/>
  <c r="F44" i="2"/>
  <c r="G44" i="2" s="1"/>
  <c r="D44" i="2"/>
  <c r="E44" i="2" s="1"/>
  <c r="C44" i="2"/>
  <c r="B44" i="2"/>
  <c r="I43" i="2"/>
  <c r="F43" i="2"/>
  <c r="D43" i="2"/>
  <c r="E43" i="2" s="1"/>
  <c r="C43" i="2"/>
  <c r="B43" i="2"/>
  <c r="I42" i="2"/>
  <c r="F42" i="2"/>
  <c r="G42" i="2" s="1"/>
  <c r="D42" i="2"/>
  <c r="E42" i="2" s="1"/>
  <c r="C42" i="2"/>
  <c r="B42" i="2"/>
  <c r="I41" i="2"/>
  <c r="G41" i="2"/>
  <c r="F41" i="2"/>
  <c r="H41" i="2" s="1"/>
  <c r="E41" i="2"/>
  <c r="D41" i="2"/>
  <c r="C41" i="2"/>
  <c r="B41" i="2"/>
  <c r="I40" i="2"/>
  <c r="H40" i="2"/>
  <c r="F40" i="2"/>
  <c r="G40" i="2" s="1"/>
  <c r="D40" i="2"/>
  <c r="E40" i="2" s="1"/>
  <c r="C40" i="2"/>
  <c r="B40" i="2"/>
  <c r="I39" i="2"/>
  <c r="F39" i="2"/>
  <c r="H39" i="2" s="1"/>
  <c r="D39" i="2"/>
  <c r="E39" i="2" s="1"/>
  <c r="C39" i="2"/>
  <c r="B39" i="2"/>
  <c r="I38" i="2"/>
  <c r="F38" i="2"/>
  <c r="G38" i="2" s="1"/>
  <c r="D38" i="2"/>
  <c r="E38" i="2" s="1"/>
  <c r="C38" i="2"/>
  <c r="B38" i="2"/>
  <c r="I37" i="2"/>
  <c r="F37" i="2"/>
  <c r="H37" i="2" s="1"/>
  <c r="E37" i="2"/>
  <c r="D37" i="2"/>
  <c r="C37" i="2"/>
  <c r="B37" i="2"/>
  <c r="I36" i="2"/>
  <c r="H36" i="2"/>
  <c r="F36" i="2"/>
  <c r="G36" i="2" s="1"/>
  <c r="D36" i="2"/>
  <c r="E36" i="2" s="1"/>
  <c r="C36" i="2"/>
  <c r="B36" i="2"/>
  <c r="I35" i="2"/>
  <c r="F35" i="2"/>
  <c r="H35" i="2" s="1"/>
  <c r="E35" i="2"/>
  <c r="D35" i="2"/>
  <c r="C35" i="2"/>
  <c r="B35" i="2"/>
  <c r="I34" i="2"/>
  <c r="F34" i="2"/>
  <c r="G34" i="2" s="1"/>
  <c r="D34" i="2"/>
  <c r="E34" i="2" s="1"/>
  <c r="C34" i="2"/>
  <c r="B34" i="2"/>
  <c r="I33" i="2"/>
  <c r="F33" i="2"/>
  <c r="D33" i="2"/>
  <c r="E33" i="2" s="1"/>
  <c r="C33" i="2"/>
  <c r="B33" i="2"/>
  <c r="I32" i="2"/>
  <c r="F32" i="2"/>
  <c r="G32" i="2" s="1"/>
  <c r="D32" i="2"/>
  <c r="E32" i="2" s="1"/>
  <c r="C32" i="2"/>
  <c r="B32" i="2"/>
  <c r="I31" i="2"/>
  <c r="F31" i="2"/>
  <c r="H31" i="2" s="1"/>
  <c r="E31" i="2"/>
  <c r="D31" i="2"/>
  <c r="C31" i="2"/>
  <c r="B31" i="2"/>
  <c r="I30" i="2"/>
  <c r="F30" i="2"/>
  <c r="G30" i="2" s="1"/>
  <c r="D30" i="2"/>
  <c r="E30" i="2" s="1"/>
  <c r="C30" i="2"/>
  <c r="B30" i="2"/>
  <c r="I29" i="2"/>
  <c r="G29" i="2"/>
  <c r="F29" i="2"/>
  <c r="D29" i="2"/>
  <c r="E29" i="2" s="1"/>
  <c r="C29" i="2"/>
  <c r="B29" i="2"/>
  <c r="I28" i="2"/>
  <c r="F28" i="2"/>
  <c r="G28" i="2" s="1"/>
  <c r="D28" i="2"/>
  <c r="E28" i="2" s="1"/>
  <c r="C28" i="2"/>
  <c r="B28" i="2"/>
  <c r="I27" i="2"/>
  <c r="G27" i="2"/>
  <c r="F27" i="2"/>
  <c r="D27" i="2"/>
  <c r="E27" i="2" s="1"/>
  <c r="C27" i="2"/>
  <c r="B27" i="2"/>
  <c r="I26" i="2"/>
  <c r="H26" i="2"/>
  <c r="F26" i="2"/>
  <c r="G26" i="2" s="1"/>
  <c r="D26" i="2"/>
  <c r="E26" i="2" s="1"/>
  <c r="C26" i="2"/>
  <c r="B26" i="2"/>
  <c r="I25" i="2"/>
  <c r="G25" i="2"/>
  <c r="F25" i="2"/>
  <c r="D25" i="2"/>
  <c r="E25" i="2" s="1"/>
  <c r="C25" i="2"/>
  <c r="B25" i="2"/>
  <c r="I24" i="2"/>
  <c r="F24" i="2"/>
  <c r="G24" i="2" s="1"/>
  <c r="D24" i="2"/>
  <c r="E24" i="2" s="1"/>
  <c r="C24" i="2"/>
  <c r="B24" i="2"/>
  <c r="I23" i="2"/>
  <c r="G23" i="2"/>
  <c r="F23" i="2"/>
  <c r="D23" i="2"/>
  <c r="E23" i="2" s="1"/>
  <c r="C23" i="2"/>
  <c r="B23" i="2"/>
  <c r="I22" i="2"/>
  <c r="F22" i="2"/>
  <c r="G22" i="2" s="1"/>
  <c r="D22" i="2"/>
  <c r="E22" i="2" s="1"/>
  <c r="C22" i="2"/>
  <c r="B22" i="2"/>
  <c r="I21" i="2"/>
  <c r="F21" i="2"/>
  <c r="H21" i="2" s="1"/>
  <c r="D21" i="2"/>
  <c r="E21" i="2" s="1"/>
  <c r="C21" i="2"/>
  <c r="B21" i="2"/>
  <c r="I20" i="2"/>
  <c r="F20" i="2"/>
  <c r="G20" i="2" s="1"/>
  <c r="D20" i="2"/>
  <c r="E20" i="2" s="1"/>
  <c r="C20" i="2"/>
  <c r="B20" i="2"/>
  <c r="I19" i="2"/>
  <c r="F19" i="2"/>
  <c r="H19" i="2" s="1"/>
  <c r="E19" i="2"/>
  <c r="D19" i="2"/>
  <c r="C19" i="2"/>
  <c r="B19" i="2"/>
  <c r="I18" i="2"/>
  <c r="H18" i="2"/>
  <c r="F18" i="2"/>
  <c r="G18" i="2" s="1"/>
  <c r="D18" i="2"/>
  <c r="E18" i="2" s="1"/>
  <c r="C18" i="2"/>
  <c r="B18" i="2"/>
  <c r="I17" i="2"/>
  <c r="F17" i="2"/>
  <c r="H17" i="2" s="1"/>
  <c r="E17" i="2"/>
  <c r="D17" i="2"/>
  <c r="C17" i="2"/>
  <c r="B17" i="2"/>
  <c r="I16" i="2"/>
  <c r="F16" i="2"/>
  <c r="G16" i="2" s="1"/>
  <c r="D16" i="2"/>
  <c r="E16" i="2" s="1"/>
  <c r="C16" i="2"/>
  <c r="B16" i="2"/>
  <c r="I15" i="2"/>
  <c r="G15" i="2"/>
  <c r="F15" i="2"/>
  <c r="E15" i="2"/>
  <c r="D15" i="2"/>
  <c r="C15" i="2"/>
  <c r="B15" i="2"/>
  <c r="I14" i="2"/>
  <c r="F14" i="2"/>
  <c r="G14" i="2" s="1"/>
  <c r="D14" i="2"/>
  <c r="E14" i="2" s="1"/>
  <c r="C14" i="2"/>
  <c r="B14" i="2"/>
  <c r="I13" i="2"/>
  <c r="G13" i="2"/>
  <c r="F13" i="2"/>
  <c r="E13" i="2"/>
  <c r="D13" i="2"/>
  <c r="C13" i="2"/>
  <c r="B13" i="2"/>
  <c r="I12" i="2"/>
  <c r="F12" i="2"/>
  <c r="G12" i="2" s="1"/>
  <c r="D12" i="2"/>
  <c r="E12" i="2" s="1"/>
  <c r="C12" i="2"/>
  <c r="B12" i="2"/>
  <c r="I11" i="2"/>
  <c r="F11" i="2"/>
  <c r="D11" i="2"/>
  <c r="E11" i="2" s="1"/>
  <c r="C11" i="2"/>
  <c r="B11" i="2"/>
  <c r="I10" i="2"/>
  <c r="H10" i="2"/>
  <c r="F10" i="2"/>
  <c r="G10" i="2" s="1"/>
  <c r="D10" i="2"/>
  <c r="E10" i="2" s="1"/>
  <c r="C10" i="2"/>
  <c r="B10" i="2"/>
  <c r="I9" i="2"/>
  <c r="G9" i="2"/>
  <c r="F9" i="2"/>
  <c r="D9" i="2"/>
  <c r="E9" i="2" s="1"/>
  <c r="C9" i="2"/>
  <c r="B9" i="2"/>
  <c r="I8" i="2"/>
  <c r="H8" i="2"/>
  <c r="F8" i="2"/>
  <c r="G8" i="2" s="1"/>
  <c r="D8" i="2"/>
  <c r="E8" i="2" s="1"/>
  <c r="C8" i="2"/>
  <c r="B8" i="2"/>
  <c r="I7" i="2"/>
  <c r="F7" i="2"/>
  <c r="D7" i="2"/>
  <c r="E7" i="2" s="1"/>
  <c r="C7" i="2"/>
  <c r="B7" i="2"/>
  <c r="I6" i="2"/>
  <c r="F6" i="2"/>
  <c r="G6" i="2" s="1"/>
  <c r="D6" i="2"/>
  <c r="E6" i="2" s="1"/>
  <c r="C6" i="2"/>
  <c r="B6" i="2"/>
  <c r="I5" i="2"/>
  <c r="G5" i="2"/>
  <c r="F5" i="2"/>
  <c r="H5" i="2" s="1"/>
  <c r="E5" i="2"/>
  <c r="D5" i="2"/>
  <c r="C5" i="2"/>
  <c r="B5" i="2"/>
  <c r="I4" i="2"/>
  <c r="F4" i="2"/>
  <c r="G4" i="2" s="1"/>
  <c r="D4" i="2"/>
  <c r="E4" i="2" s="1"/>
  <c r="C4" i="2"/>
  <c r="B4" i="2"/>
  <c r="I3" i="2"/>
  <c r="G3" i="2"/>
  <c r="F3" i="2"/>
  <c r="H3" i="2" s="1"/>
  <c r="D3" i="2"/>
  <c r="E3" i="2" s="1"/>
  <c r="C3" i="2"/>
  <c r="B3" i="2"/>
  <c r="I2" i="2"/>
  <c r="F2" i="2"/>
  <c r="G2" i="2" s="1"/>
  <c r="D2" i="2"/>
  <c r="E2" i="2" s="1"/>
  <c r="C2" i="2"/>
  <c r="B2" i="2"/>
  <c r="H29" i="2" l="1"/>
  <c r="H47" i="2"/>
  <c r="G65" i="2"/>
  <c r="G75" i="2"/>
  <c r="H86" i="2"/>
  <c r="H182" i="2"/>
  <c r="H198" i="2"/>
  <c r="H214" i="2"/>
  <c r="H230" i="2"/>
  <c r="G19" i="2"/>
  <c r="G37" i="2"/>
  <c r="H50" i="2"/>
  <c r="H63" i="2"/>
  <c r="H68" i="2"/>
  <c r="G73" i="2"/>
  <c r="H132" i="2"/>
  <c r="H148" i="2"/>
  <c r="H156" i="2"/>
  <c r="H222" i="2"/>
  <c r="H244" i="2"/>
  <c r="H55" i="2"/>
  <c r="H27" i="2"/>
  <c r="H45" i="2"/>
  <c r="H124" i="2"/>
  <c r="G156" i="2"/>
  <c r="H172" i="2"/>
  <c r="H193" i="2"/>
  <c r="H209" i="2"/>
  <c r="H225" i="2"/>
  <c r="H9" i="2"/>
  <c r="H4" i="2"/>
  <c r="H138" i="2"/>
  <c r="H140" i="2"/>
  <c r="G35" i="2"/>
  <c r="H25" i="2"/>
  <c r="H61" i="2"/>
  <c r="H87" i="2"/>
  <c r="H95" i="2"/>
  <c r="G119" i="2"/>
  <c r="G146" i="2"/>
  <c r="H178" i="2"/>
  <c r="H183" i="2"/>
  <c r="H199" i="2"/>
  <c r="H215" i="2"/>
  <c r="H42" i="2"/>
  <c r="H33" i="2"/>
  <c r="H141" i="2"/>
  <c r="H245" i="2"/>
  <c r="G21" i="2"/>
  <c r="G17" i="2"/>
  <c r="H7" i="2"/>
  <c r="H2" i="2"/>
  <c r="G7" i="2"/>
  <c r="H43" i="2"/>
  <c r="H56" i="2"/>
  <c r="H15" i="2"/>
  <c r="G33" i="2"/>
  <c r="G43" i="2"/>
  <c r="H51" i="2"/>
  <c r="H69" i="2"/>
  <c r="H74" i="2"/>
  <c r="G82" i="2"/>
  <c r="H128" i="2"/>
  <c r="G141" i="2"/>
  <c r="H144" i="2"/>
  <c r="G149" i="2"/>
  <c r="H165" i="2"/>
  <c r="H194" i="2"/>
  <c r="H234" i="2"/>
  <c r="G39" i="2"/>
  <c r="H24" i="2"/>
  <c r="H94" i="2"/>
  <c r="H23" i="2"/>
  <c r="H109" i="2"/>
  <c r="E128" i="2"/>
  <c r="H173" i="2"/>
  <c r="H11" i="2"/>
  <c r="H110" i="2"/>
  <c r="G11" i="2"/>
  <c r="G55" i="2"/>
  <c r="H34" i="2"/>
  <c r="H13" i="2"/>
  <c r="G31" i="2"/>
  <c r="G49" i="2"/>
  <c r="G67" i="2"/>
  <c r="H152" i="2"/>
  <c r="H171" i="2"/>
  <c r="H189" i="2"/>
  <c r="H205" i="2"/>
  <c r="H221" i="2"/>
  <c r="H104" i="2"/>
  <c r="H85" i="2"/>
  <c r="G132" i="2"/>
  <c r="H28" i="2"/>
  <c r="H60" i="2"/>
  <c r="G85" i="2"/>
  <c r="H80" i="2"/>
  <c r="G80" i="2"/>
  <c r="H70" i="2"/>
  <c r="H101" i="2"/>
  <c r="G101" i="2"/>
  <c r="H122" i="2"/>
  <c r="G122" i="2"/>
  <c r="H177" i="2"/>
  <c r="G177" i="2"/>
  <c r="H111" i="2"/>
  <c r="G111" i="2"/>
  <c r="H98" i="2"/>
  <c r="H153" i="2"/>
  <c r="G153" i="2"/>
  <c r="H6" i="2"/>
  <c r="H38" i="2"/>
  <c r="H16" i="2"/>
  <c r="H48" i="2"/>
  <c r="H117" i="2"/>
  <c r="H130" i="2"/>
  <c r="H164" i="2"/>
  <c r="H90" i="2"/>
  <c r="G90" i="2"/>
  <c r="H112" i="2"/>
  <c r="G112" i="2"/>
  <c r="H83" i="2"/>
  <c r="G83" i="2"/>
  <c r="H133" i="2"/>
  <c r="G133" i="2"/>
  <c r="H154" i="2"/>
  <c r="G154" i="2"/>
  <c r="H14" i="2"/>
  <c r="H46" i="2"/>
  <c r="G162" i="2"/>
  <c r="H162" i="2"/>
  <c r="H12" i="2"/>
  <c r="H44" i="2"/>
  <c r="H76" i="2"/>
  <c r="H97" i="2"/>
  <c r="G97" i="2"/>
  <c r="H115" i="2"/>
  <c r="G115" i="2"/>
  <c r="H118" i="2"/>
  <c r="H136" i="2"/>
  <c r="E160" i="2"/>
  <c r="H22" i="2"/>
  <c r="H54" i="2"/>
  <c r="H89" i="2"/>
  <c r="G89" i="2"/>
  <c r="H126" i="2"/>
  <c r="H139" i="2"/>
  <c r="G139" i="2"/>
  <c r="H32" i="2"/>
  <c r="H64" i="2"/>
  <c r="H79" i="2"/>
  <c r="G79" i="2"/>
  <c r="H147" i="2"/>
  <c r="G147" i="2"/>
  <c r="H168" i="2"/>
  <c r="G168" i="2"/>
  <c r="H20" i="2"/>
  <c r="H52" i="2"/>
  <c r="G100" i="2"/>
  <c r="H108" i="2"/>
  <c r="H121" i="2"/>
  <c r="G121" i="2"/>
  <c r="H107" i="2"/>
  <c r="G107" i="2"/>
  <c r="H30" i="2"/>
  <c r="H62" i="2"/>
  <c r="H116" i="2"/>
  <c r="G116" i="2"/>
  <c r="H158" i="2"/>
  <c r="H143" i="2"/>
  <c r="H175" i="2"/>
  <c r="H191" i="2"/>
  <c r="H207" i="2"/>
  <c r="H223" i="2"/>
  <c r="G143" i="2"/>
  <c r="G175" i="2"/>
  <c r="G191" i="2"/>
  <c r="G207" i="2"/>
  <c r="G223" i="2"/>
  <c r="G239" i="2"/>
  <c r="H105" i="2"/>
  <c r="H137" i="2"/>
  <c r="H169" i="2"/>
  <c r="G171" i="2"/>
  <c r="H180" i="2"/>
  <c r="G189" i="2"/>
  <c r="H196" i="2"/>
  <c r="G205" i="2"/>
  <c r="H212" i="2"/>
  <c r="G221" i="2"/>
  <c r="H228" i="2"/>
  <c r="G237" i="2"/>
  <c r="H103" i="2"/>
  <c r="G105" i="2"/>
  <c r="H135" i="2"/>
  <c r="G137" i="2"/>
  <c r="H167" i="2"/>
  <c r="G169" i="2"/>
  <c r="G180" i="2"/>
  <c r="H187" i="2"/>
  <c r="G196" i="2"/>
  <c r="H203" i="2"/>
  <c r="G212" i="2"/>
  <c r="H219" i="2"/>
  <c r="G228" i="2"/>
  <c r="H235" i="2"/>
  <c r="G244" i="2"/>
  <c r="H242" i="2"/>
  <c r="H99" i="2"/>
  <c r="H131" i="2"/>
  <c r="G148" i="2"/>
  <c r="H163" i="2"/>
  <c r="G165" i="2"/>
  <c r="G178" i="2"/>
  <c r="H185" i="2"/>
  <c r="G194" i="2"/>
  <c r="H201" i="2"/>
  <c r="G210" i="2"/>
  <c r="H217" i="2"/>
  <c r="G226" i="2"/>
  <c r="H233" i="2"/>
  <c r="G242" i="2"/>
  <c r="H129" i="2"/>
  <c r="H161" i="2"/>
  <c r="H176" i="2"/>
  <c r="H192" i="2"/>
  <c r="H208" i="2"/>
  <c r="H224" i="2"/>
  <c r="G233" i="2"/>
  <c r="H240" i="2"/>
  <c r="G144" i="2"/>
  <c r="G78" i="2"/>
  <c r="H93" i="2"/>
  <c r="G95" i="2"/>
  <c r="E106" i="2"/>
  <c r="G110" i="2"/>
  <c r="H125" i="2"/>
  <c r="G127" i="2"/>
  <c r="E138" i="2"/>
  <c r="G142" i="2"/>
  <c r="H157" i="2"/>
  <c r="G159" i="2"/>
  <c r="E170" i="2"/>
  <c r="G174" i="2"/>
  <c r="G183" i="2"/>
  <c r="H190" i="2"/>
  <c r="G199" i="2"/>
  <c r="H206" i="2"/>
  <c r="G215" i="2"/>
  <c r="G231" i="2"/>
  <c r="G129" i="2"/>
  <c r="H91" i="2"/>
  <c r="G93" i="2"/>
  <c r="H123" i="2"/>
  <c r="G125" i="2"/>
  <c r="H155" i="2"/>
  <c r="G157" i="2"/>
  <c r="H181" i="2"/>
  <c r="G190" i="2"/>
  <c r="H197" i="2"/>
  <c r="G206" i="2"/>
  <c r="H213" i="2"/>
  <c r="G222" i="2"/>
  <c r="H229" i="2"/>
  <c r="G238" i="2"/>
  <c r="H188" i="2"/>
  <c r="G197" i="2"/>
  <c r="H204" i="2"/>
  <c r="G213" i="2"/>
  <c r="H220" i="2"/>
  <c r="G229" i="2"/>
  <c r="H236" i="2"/>
  <c r="G236" i="2"/>
  <c r="H243" i="2"/>
  <c r="H241" i="2"/>
  <c r="H81" i="2"/>
  <c r="H113" i="2"/>
  <c r="H145" i="2"/>
  <c r="H184" i="2"/>
  <c r="G193" i="2"/>
  <c r="H200" i="2"/>
  <c r="G209" i="2"/>
  <c r="H216" i="2"/>
  <c r="G225" i="2"/>
  <c r="H232" i="2"/>
  <c r="G241" i="2"/>
  <c r="G245" i="2"/>
  <c r="G246" i="2"/>
</calcChain>
</file>

<file path=xl/sharedStrings.xml><?xml version="1.0" encoding="utf-8"?>
<sst xmlns="http://schemas.openxmlformats.org/spreadsheetml/2006/main" count="1242" uniqueCount="374">
  <si>
    <t>shop</t>
  </si>
  <si>
    <t>ProductID</t>
  </si>
  <si>
    <t>category</t>
  </si>
  <si>
    <t>name</t>
  </si>
  <si>
    <t>price</t>
  </si>
  <si>
    <t>Brickmo</t>
  </si>
  <si>
    <t>Lego City</t>
  </si>
  <si>
    <t>LEGO City 60312 Police Car 60312</t>
  </si>
  <si>
    <t>LEGO City 60480 Yellow Backhoe Loader 60480</t>
  </si>
  <si>
    <t>LEGO City 60502 Airport with Airplane 60502</t>
  </si>
  <si>
    <t>LEGO City 60373 Fire Rescue Boat 60373</t>
  </si>
  <si>
    <t>LEGO City Fahrzeuge 60454 Holiday Adventure...</t>
  </si>
  <si>
    <t>LEGO City 60430 Interstellar Spaceship 60430</t>
  </si>
  <si>
    <t>LEGO City 60484 Rides – Gaming Race Car 60484</t>
  </si>
  <si>
    <t>LEGO City 60419 Police Prison Island 60419</t>
  </si>
  <si>
    <t>LEGO City 60414 Fire Station with Fire Truck 60414</t>
  </si>
  <si>
    <t>LEGO City 60483 Rides – Construction Loader 60483</t>
  </si>
  <si>
    <t>LEGO City 60479 Police Prisoner Transport Van...</t>
  </si>
  <si>
    <t>LEGO City 60465 Emergency Air Ambulance...</t>
  </si>
  <si>
    <t>LEGO City 60481 Rides – Police Truck 60481</t>
  </si>
  <si>
    <t>LEGO City 60404 Burger Truck 60404</t>
  </si>
  <si>
    <t>LEGO City 60482 Rides – Fire Truck 60482</t>
  </si>
  <si>
    <t>LEGO City 60486 EV Supercar 60486</t>
  </si>
  <si>
    <t>LEGO City 60505 Airplane, Service Truck &amp;...</t>
  </si>
  <si>
    <t>LEGO City 60205 Tracks 60205</t>
  </si>
  <si>
    <t>LEGO City 60368 Arctic Explorer Ship 60368</t>
  </si>
  <si>
    <t>LEGO City 60511 Vintage Steam Train 60511</t>
  </si>
  <si>
    <t>LEGO City 60506 Classic Beach Streetcar 60506</t>
  </si>
  <si>
    <t>LEGO City 60494 Dump Truck &amp; Front End Loader...</t>
  </si>
  <si>
    <t>LEGO City 60492 Passenger Jet 60492</t>
  </si>
  <si>
    <t>LEGO City 60497 Drive-Through Car Wash 60497</t>
  </si>
  <si>
    <t>Lego Star Wars</t>
  </si>
  <si>
    <t>LEGO Star Wars 75455 Boba Fett 75455</t>
  </si>
  <si>
    <t>LEGO Star Wars 75331 The Razor Crest 75331</t>
  </si>
  <si>
    <t>LEGO Star Wars 75192 Millennium Falcon 75192</t>
  </si>
  <si>
    <t>LEGO Star Wars 40755 Imperial Dropship vs....</t>
  </si>
  <si>
    <t>LEGO Star Wars 75383 Darth Maul's Sith...</t>
  </si>
  <si>
    <t>LEGO Star Wars 75400 Plo Koon's Jedi...</t>
  </si>
  <si>
    <t>LEGO Star Wars 75397 Jabba's Sail Barge 75397</t>
  </si>
  <si>
    <t>LEGO Star Wars 75453 Offworld Sandcrawler and...</t>
  </si>
  <si>
    <t>LEGO Star Wars 75454 Imperial Remnant AT-AT...</t>
  </si>
  <si>
    <t>LEGO Star Wars 75349 Captain Rex Helmet 75349</t>
  </si>
  <si>
    <t>LEGO Star Wars 75345 501st Clone Troopers...</t>
  </si>
  <si>
    <t>LEGO Star Wars 75401 Ahsoka's Jedi Interceptor...</t>
  </si>
  <si>
    <t>LEGO Star Wars 75347 TIE Bomber 75347</t>
  </si>
  <si>
    <t>LEGO Star Wars 75404 Acclamator-Class Assault...</t>
  </si>
  <si>
    <t>LEGO Star Wars 75403 Grogu with Hover Pram 75403</t>
  </si>
  <si>
    <t>LEGO Star Wars 75333 Obi-Wan Kenobi’s Jedi...</t>
  </si>
  <si>
    <t>LEGO Star Wars 75373 Ambush on Mandalore Battle...</t>
  </si>
  <si>
    <t>LEGO Star Wars 75325 The Mandalorian´s N-1...</t>
  </si>
  <si>
    <t>LEGO Star Wars 75456 Advent Calendar 2026 75456</t>
  </si>
  <si>
    <t>LEGO Star Wars 75451 Hutt Palace Sentry Droid...</t>
  </si>
  <si>
    <t>LEGO Star Wars 75439 Darth Vader Bust 75439</t>
  </si>
  <si>
    <t>LEGO Star Wars 75438 Yoda Bust 75438</t>
  </si>
  <si>
    <t>LEGO Star Wars 75446 Grogu (Mandalorian...</t>
  </si>
  <si>
    <t>LEGO Star Wars 75445 Anzellan Starship 75445</t>
  </si>
  <si>
    <t>Lego Friends</t>
  </si>
  <si>
    <t>LEGO Friends 42673 Family Vacation Beach Resort...</t>
  </si>
  <si>
    <t>LEGO Friends 42692 Ice Cream &amp; Balloon Stand 42692</t>
  </si>
  <si>
    <t>LEGO Friends 42648 Panda Sanctuary Animal Care...</t>
  </si>
  <si>
    <t>LEGO Friends 42695 Horse &amp; Baby Foal Trailer 42695</t>
  </si>
  <si>
    <t>LEGO Friends 42703 Mermaid Roller Coaster Ride...</t>
  </si>
  <si>
    <t>LEGO Friends 42690 Forest Tea Party 42690</t>
  </si>
  <si>
    <t>LEGO Friends 42700 Candy &amp; Cupcake Ferris Wheel...</t>
  </si>
  <si>
    <t>LEGO Friends 42676 Fun Water Park Day 42676</t>
  </si>
  <si>
    <t>LEGO Friends 42693 Creative Flower Shop 42693</t>
  </si>
  <si>
    <t>LEGO Friends 42704 Heartlake City Grand Hotel...</t>
  </si>
  <si>
    <t>LEGO Friends 42682 Nature Glamping Cabin 42682</t>
  </si>
  <si>
    <t>LEGO Friends 42694 Pizza Truck 42694</t>
  </si>
  <si>
    <t>LEGO Friends 42697 Creative Dollhouse Suitcase...</t>
  </si>
  <si>
    <t>LEGO Friends 42705 Cozy Fall Forest Cabin 42705</t>
  </si>
  <si>
    <t>LEGO Friends 42702 Spinning Flower &amp; Fairy...</t>
  </si>
  <si>
    <t>LEGO Friends 42698 Advent Calendar 2026 42698</t>
  </si>
  <si>
    <t>LEGO Friends 42659 Friendship Road-Trip Travel...</t>
  </si>
  <si>
    <t>LEGO Friends 42687 Liann's Family House 42687</t>
  </si>
  <si>
    <t>LEGO Friends 42663 Friendship Camper Van...</t>
  </si>
  <si>
    <t>LEGO Friends 42666 Cat Birthday Party &amp; Tree...</t>
  </si>
  <si>
    <t>LEGO Friends 42652 Friendship Tree House...</t>
  </si>
  <si>
    <t>LEGO Friends 42681 Axolotl Adventure Boat 42681</t>
  </si>
  <si>
    <t>LEGO Friends 41713 Olivia´s Space Academy 41713</t>
  </si>
  <si>
    <t>LEGO Friends 42647 Paisley's Room 42647</t>
  </si>
  <si>
    <t>Lego Icons</t>
  </si>
  <si>
    <t>LEGO Icons 11382 Hubble Space Telescope 11382</t>
  </si>
  <si>
    <t>LEGO Icons 11375 Ferrari F2004 &amp; Michael...</t>
  </si>
  <si>
    <t>LEGO Icons 11378 Douglas DC-3 PAN AM Airliner...</t>
  </si>
  <si>
    <t>LEGO Icons 11381 Jaguar E-Type 11381</t>
  </si>
  <si>
    <t>LEGO Icons 11383 Mayor Manor 11383</t>
  </si>
  <si>
    <t>LEGO Icons 10331 Kingfisher Bird 10331</t>
  </si>
  <si>
    <t>LEGO Icons 11380 Road Bike 11380</t>
  </si>
  <si>
    <t>LEGO Icons 10360 Shuttle Carrier Aircraft 10360</t>
  </si>
  <si>
    <t>LEGO Icons 11371 Shopping Street 11371</t>
  </si>
  <si>
    <t>LEGO Icons 10335 The Endurance 10335</t>
  </si>
  <si>
    <t>LEGO Icons 10305 Lion Knights' Castle 10305</t>
  </si>
  <si>
    <t>LEGO Icons 10307 Eiffel Tower 10307</t>
  </si>
  <si>
    <t>LEGO Icons 11370 Stranger Things: The Creel...</t>
  </si>
  <si>
    <t>LEGO Icons 10333 The Lord of the Rings:...</t>
  </si>
  <si>
    <t>LEGO Icons 10337 Lamborghini Countach 5000...</t>
  </si>
  <si>
    <t>LEGO Editions 43018 Lionel Messi – Celebration...</t>
  </si>
  <si>
    <t>LEGO Icons 10362 French Café 10362</t>
  </si>
  <si>
    <t>LEGO Icons 10328 Bouquet of Roses 10328</t>
  </si>
  <si>
    <t>LEGO Icons 11384 Golden Retriever Puppy 11384</t>
  </si>
  <si>
    <t>LEGO Icons 11373 The Lord of the Rings:...</t>
  </si>
  <si>
    <t>LEGO Icons 11376 Ford Model T 11376</t>
  </si>
  <si>
    <t>LEGO Icons 10356 Star Trek: U.S.S. Enterprise...</t>
  </si>
  <si>
    <t>LEGO Icons 10365 Captain Jack Sparrow's Pirate...</t>
  </si>
  <si>
    <t>LEGO Icons 10315 Tranquil Garden 10315</t>
  </si>
  <si>
    <t>bricksdirect</t>
  </si>
  <si>
    <t>LEGO 60512 Mountain Bike Adventure Van</t>
  </si>
  <si>
    <t>LEGO 60511 Vintage Steam Train</t>
  </si>
  <si>
    <t>LEGO 60510 Advent Calendar 2026, City (Pre order, will be shipped on 01/09/2026)</t>
  </si>
  <si>
    <t>LEGO 60509 Harbor Freight Train with Crane &amp; Truck</t>
  </si>
  <si>
    <t>LEGO 60508 Police Train Heist</t>
  </si>
  <si>
    <t>LEGO 60506 Classic Beach Streetcar</t>
  </si>
  <si>
    <t>LEGO 60505 Airplane, Service Truck &amp; Hovercraft Remix</t>
  </si>
  <si>
    <t>LEGO 60504 Coast Guard Rescue Boat &amp; Helicopter</t>
  </si>
  <si>
    <t>LEGO 60503 Coast Guard Helicopter</t>
  </si>
  <si>
    <t>LEGO 60502 Airport with Airplane</t>
  </si>
  <si>
    <t>LEGO 60501 Lava Land Roller Coaster Park</t>
  </si>
  <si>
    <t>LEGO 60500 The Van</t>
  </si>
  <si>
    <t>LEGO 60499 Airport Fire Truck</t>
  </si>
  <si>
    <t>LEGO 60498 Tractor</t>
  </si>
  <si>
    <t>LEGO 60497 Drive-Through Car Wash</t>
  </si>
  <si>
    <t>LEGO 60496 Pizza Delivery Experience with Vehicles</t>
  </si>
  <si>
    <t>LEGO 60495 Recycling Truck</t>
  </si>
  <si>
    <t>LEGO 60494 Dump Truck &amp; Front End Loader</t>
  </si>
  <si>
    <t>LEGO 60493 F1 Display Truck with Audi F1 Race Car</t>
  </si>
  <si>
    <t>LEGO 60492 Passenger Jet</t>
  </si>
  <si>
    <t>LEGO 60491 Motorcycle Transporter</t>
  </si>
  <si>
    <t>LEGO 60490 Snowplow</t>
  </si>
  <si>
    <t>LEGO 60489 Jet vs. Car</t>
  </si>
  <si>
    <t>LEGO 60488 Fries Food Truck</t>
  </si>
  <si>
    <t>LEGO 60487 Yellow Taxi</t>
  </si>
  <si>
    <t>LEGO 60486 EV Supercar</t>
  </si>
  <si>
    <t>LEGO 60485 Hot Rod</t>
  </si>
  <si>
    <t>LEGO 60484 Rides – Gaming Race Car</t>
  </si>
  <si>
    <t>LEGO 60483 Rides – Construction Loader</t>
  </si>
  <si>
    <t>LEGO 60482 Rides – Fire Truck</t>
  </si>
  <si>
    <t>LEGO 60481 Rides – Police Truck</t>
  </si>
  <si>
    <t>LEGO 60480 Yellow Backhoe Loader</t>
  </si>
  <si>
    <t>LEGO 60479 Police Prisoner Transport Van</t>
  </si>
  <si>
    <t>LEGO 60478 Cement Mixer</t>
  </si>
  <si>
    <t>LEGO 60474 F1 Grid with VCARB &amp; Sauber Race Cars</t>
  </si>
  <si>
    <t>LEGO 60473 The City Tower</t>
  </si>
  <si>
    <t>LEGO 60471 Arctic Explorer Science Lab Truck</t>
  </si>
  <si>
    <t>LEGO 60470 Explorers’ Arctic Polar Express Train</t>
  </si>
  <si>
    <t>LEGO 60469 Central Train Station</t>
  </si>
  <si>
    <t>LEGO 60467 Heavy-Duty Recovery Tow Truck with Crane</t>
  </si>
  <si>
    <t>LEGO 60466 Yellow Bulldozer</t>
  </si>
  <si>
    <t>LEGO 60465 Emergency Air Ambulance Airplane</t>
  </si>
  <si>
    <t>LEGO 60464 F1 Williams Racing &amp; Haas F1 Race Cars</t>
  </si>
  <si>
    <t>LEGO 60463 Fire Ladder Truck</t>
  </si>
  <si>
    <t>LEGO 60462 Helicopter, Fire Truck &amp; Submarine Remix</t>
  </si>
  <si>
    <t>LEGO 60459 Airplane vs. Hospital Bed Race Car Pack</t>
  </si>
  <si>
    <t>LEGO 60458 Pizza vs. Fire Truck Race Car Pack</t>
  </si>
  <si>
    <t>LEGO 60457 Custom Police Car Garage</t>
  </si>
  <si>
    <t>LEGO 60456 Police Boat Chase</t>
  </si>
  <si>
    <t>LEGO 60455 Police Motorcycle Chase</t>
  </si>
  <si>
    <t>LEGO 60454 Holiday Adventure Camper Van</t>
  </si>
  <si>
    <t>LEGO 60453 Lifeguard Beach Rescue Truck</t>
  </si>
  <si>
    <t>LEGO 60452 Donut Truck</t>
  </si>
  <si>
    <t>LEGO 60451 Emergency Ambulance</t>
  </si>
  <si>
    <t>LEGO 60449 Off-Road Police Car Chase</t>
  </si>
  <si>
    <t>LEGO 60447 Off-Road 4x4 Mountain Truck</t>
  </si>
  <si>
    <t>LEGO 60446 Modular Galactic Spaceship</t>
  </si>
  <si>
    <t>LEGO 60445 F1 Truck with RB20 &amp; AMR24 F1 Cars</t>
  </si>
  <si>
    <t>LEGO 60444 F1 Garage &amp; Mercedes-AMG &amp; Alpine Cars</t>
  </si>
  <si>
    <t>LEGO 60443 F1 Pit Stop &amp; Pit Crew with Ferrari Car</t>
  </si>
  <si>
    <t>LEGO 75535 Han Solo</t>
  </si>
  <si>
    <t>LEGO 75528 Rey</t>
  </si>
  <si>
    <t>LEGO 75525 Baze Malbus</t>
  </si>
  <si>
    <t>LEGO 75524 Chirrut Îmwe</t>
  </si>
  <si>
    <t>LEGO 75461 Up-Scaled Darth Vader Minifigure</t>
  </si>
  <si>
    <t>LEGO 75460 New Republic X-Wing Starfighter</t>
  </si>
  <si>
    <t>LEGO 75459 Imperial Lambda-Class Shuttle</t>
  </si>
  <si>
    <t>LEGO 75458 Imperial Remnant AT-RT Driver Helmet</t>
  </si>
  <si>
    <t>LEGO 75456 Advent Calendar 2026, Star Wars (Pre order, will be shipped on 01/09/2026)</t>
  </si>
  <si>
    <t>LEGO 75455 Boba Fett (Pre order, will be shipped on 01/08/2026)</t>
  </si>
  <si>
    <t>LEGO 75454 Imperial Remnant AT-AT with INT-4 (Pre order, will be shipped on 01/08/2026)</t>
  </si>
  <si>
    <t>LEGO 75453 Offworld Sandcrawler and Mudhorn (Pre order, will be shipped on 01/08/2026)</t>
  </si>
  <si>
    <t>LEGO 75452 BB-8 Astromech Droid</t>
  </si>
  <si>
    <t>LEGO 75451 Hutt Palace Sentry Droid Showdown (Pre order, will be shipped on 01/08/2026)</t>
  </si>
  <si>
    <t>LEGO 75449 Siege of Mandalore Battle Pack</t>
  </si>
  <si>
    <t>LEGO 75448 Clone Shock Trooper Mech</t>
  </si>
  <si>
    <t>LEGO 75447 The Razor Crest</t>
  </si>
  <si>
    <t>LEGO 75446 Grogu (Mandalorian Apprentice)</t>
  </si>
  <si>
    <t>LEGO 75445 Anzellan Starship</t>
  </si>
  <si>
    <t>LEGO 75444 AT-RT Attack</t>
  </si>
  <si>
    <t>LEGO 75443 Grogu’s Homestead</t>
  </si>
  <si>
    <t>LEGO 75442 The Mandalorian’s N-1 Starfighter</t>
  </si>
  <si>
    <t>LEGO 75441 Venator-Class Attack Cruiser</t>
  </si>
  <si>
    <t>LEGO 75440 AT-AT</t>
  </si>
  <si>
    <t>LEGO 75439 Darth Vader Bust</t>
  </si>
  <si>
    <t>LEGO 75438 Yoda Bust</t>
  </si>
  <si>
    <t>LEGO 75437 Cobb Vanth’s Speeder</t>
  </si>
  <si>
    <t>LEGO 75436 The Mandalorian &amp; Grogu’s Speeder Bike</t>
  </si>
  <si>
    <t>LEGO 75435 Battle of Felucia Separatist MTT</t>
  </si>
  <si>
    <t>LEGO 75434 K-2SO Security Droid</t>
  </si>
  <si>
    <t>LEGO 75433 Jango Fett’s Starship</t>
  </si>
  <si>
    <t>LEGO 75432 V-19 Torrent Starfighter</t>
  </si>
  <si>
    <t>LEGO 75431 327th Star Corps Clone Troopers Battle Pack</t>
  </si>
  <si>
    <t>LEGO 75430 Wicket the Ewok</t>
  </si>
  <si>
    <t>LEGO 75429 AT-AT Driver Helmet</t>
  </si>
  <si>
    <t>LEGO 75428 Battle Droid with STAP</t>
  </si>
  <si>
    <t>LEGO 75427 SMART Play: Throne Room Duel &amp; A-Wing</t>
  </si>
  <si>
    <t>LEGO 75426 SMART Play: Millennium Falcon</t>
  </si>
  <si>
    <t>LEGO 75425 SMART Play: Mos Eisley Cantina</t>
  </si>
  <si>
    <t>LEGO 75424 SMART Play: AT-ST Attack on Endor</t>
  </si>
  <si>
    <t>LEGO 75423 SMART Play: Luke’s Red Five X-Wing</t>
  </si>
  <si>
    <t>LEGO 75422 SMART Play: Yoda’s Hut and Jedi Training</t>
  </si>
  <si>
    <t>LEGO 75421 SMART Play: Darth Vader’s TIE Fighter</t>
  </si>
  <si>
    <t>LEGO 75420 SMART Play: Luke’s Landspeeder</t>
  </si>
  <si>
    <t>LEGO 75419 Death Star</t>
  </si>
  <si>
    <t>LEGO 75418 Advent Calendar 2025, Star Wars</t>
  </si>
  <si>
    <t>LEGO 75417 AT-ST Walker</t>
  </si>
  <si>
    <t>LEGO 75416 Chopper (C1-10P) Astromech Droid</t>
  </si>
  <si>
    <t>LEGO 75415 Kylo Ren Helmet</t>
  </si>
  <si>
    <t>LEGO 75414 The Force Burner Snowspeeder</t>
  </si>
  <si>
    <t>LEGO 75413 Republic Juggernaut</t>
  </si>
  <si>
    <t>LEGO 75412 Death Trooper &amp; Night Trooper Battle Pack</t>
  </si>
  <si>
    <t>LEGO 75411 Darth Maul Mech</t>
  </si>
  <si>
    <t>LEGO 75410 Mando and Grogu’s N-1 Starfighter</t>
  </si>
  <si>
    <t>LEGO 75409 Jango Fett’s Firespray-Class Starship</t>
  </si>
  <si>
    <t>LEGO 75408 Jango Fett Helmet</t>
  </si>
  <si>
    <t>LEGO 75407 Brick-Built Star Wars Logo</t>
  </si>
  <si>
    <t>LEGO 75406 Kylo Ren’s Command Shuttle</t>
  </si>
  <si>
    <t>LEGO 75405 Home One Starcruiser</t>
  </si>
  <si>
    <t>LEGO 75404 Acclamator-Class Assault Ship</t>
  </si>
  <si>
    <t>LEGO 853778 Stephanie’s Pool Pod</t>
  </si>
  <si>
    <t>LEGO 5005236 Friends Clubhouse</t>
  </si>
  <si>
    <t>LEGO 42705 Cozy Fall Forest Cabin</t>
  </si>
  <si>
    <t>LEGO 42704 Heartlake City Grand Hotel</t>
  </si>
  <si>
    <t>LEGO 42703 Mermaid Roller Coaster Ride</t>
  </si>
  <si>
    <t>LEGO 42702 Spinning Flower &amp; Fairy Teacup Ride</t>
  </si>
  <si>
    <t>LEGO 42701 Koala Habitat &amp; Care Center</t>
  </si>
  <si>
    <t>LEGO 42700 Candy &amp; Cupcake Ferris Wheel</t>
  </si>
  <si>
    <t>LEGO 42699 Beach House with Seals</t>
  </si>
  <si>
    <t>LEGO 42698 Advent Calendar 2026, Friends (Pre order, will be shipped on 01/09/2026)</t>
  </si>
  <si>
    <t>LEGO 42697 Creative Dollhouse Suitcase</t>
  </si>
  <si>
    <t>LEGO 42696 Animal Vet Clinic</t>
  </si>
  <si>
    <t>LEGO 42695 Horse &amp; Baby Foal Trailer</t>
  </si>
  <si>
    <t>LEGO 42694 Pizza Truck</t>
  </si>
  <si>
    <t>LEGO 42693 Creative Flower Shop</t>
  </si>
  <si>
    <t>LEGO 42692 Ice Cream &amp; Balloon Stand</t>
  </si>
  <si>
    <t>LEGO 42691 Garden Restaurant</t>
  </si>
  <si>
    <t>LEGO 42690 Forest Tea Party</t>
  </si>
  <si>
    <t>LEGO 42689 Heartlake City Friends Club House</t>
  </si>
  <si>
    <t>LEGO 42688 Horse Stable and Riding Academy</t>
  </si>
  <si>
    <t>LEGO 42687 Liann’s Family House</t>
  </si>
  <si>
    <t>LEGO 42686 Fun Indoor Playground</t>
  </si>
  <si>
    <t>LEGO 42685 Heartlake City Fashion Show</t>
  </si>
  <si>
    <t>LEGO 42684 Unicorn Dream Café</t>
  </si>
  <si>
    <t>LEGO 42682 Nature Glamping Cabin</t>
  </si>
  <si>
    <t>LEGO 42681 Axolotl Adventure Boat</t>
  </si>
  <si>
    <t>LEGO 42680 Heartlake City Convenience Store</t>
  </si>
  <si>
    <t>LEGO 42679 Heartlake City Bunny Hotel</t>
  </si>
  <si>
    <t>LEGO 42678 Pet Accessories Van</t>
  </si>
  <si>
    <t>LEGO 42677 Dog Treats Bakery</t>
  </si>
  <si>
    <t>LEGO 42676 Fun Water Park Day</t>
  </si>
  <si>
    <t>LEGO 42675 Unicorn Cake Delivery Car</t>
  </si>
  <si>
    <t>LEGO 42674 Comic Book and Game Store</t>
  </si>
  <si>
    <t>LEGO 42673 Family Vacation Beach Resort</t>
  </si>
  <si>
    <t>LEGO 42672 Creative Beach and Travel Suitcase</t>
  </si>
  <si>
    <t>LEGO 42671 Plant Café &amp; Flower Shop</t>
  </si>
  <si>
    <t>LEGO 42669 Beekeepers’ House and Flower Garden</t>
  </si>
  <si>
    <t>LEGO 42668 Advent Calendar 2025, Friends</t>
  </si>
  <si>
    <t>LEGO 42666 Cat Birthday Party &amp; Tree House</t>
  </si>
  <si>
    <t>LEGO 42665 Puppy Playground</t>
  </si>
  <si>
    <t>LEGO 42664 Travel Boat Adventure</t>
  </si>
  <si>
    <t>LEGO 42663 Friendship Camper Van Adventure</t>
  </si>
  <si>
    <t>LEGO 42662 Hair Salon and Accessories Store</t>
  </si>
  <si>
    <t>LEGO 42661 Costume Party with Unicorn &amp; Fairy</t>
  </si>
  <si>
    <t>LEGO 42659 Friendship Road-Trip Travel Car</t>
  </si>
  <si>
    <t>LEGO 42658 Unicorn &amp; Flamingo Pool Party</t>
  </si>
  <si>
    <t>LEGO 42654 Pony Ranch &amp; Stable</t>
  </si>
  <si>
    <t>LEGO 42653 Music Store &amp; Apartment</t>
  </si>
  <si>
    <t>LEGO 42652 Friendship Tree House Hangout</t>
  </si>
  <si>
    <t>LEGO 42651 Horse and Pet Vet Clinic</t>
  </si>
  <si>
    <t>LEGO 42650 Pet Accessories Shop</t>
  </si>
  <si>
    <t>LEGO 42649 Heartlake City Candy Store</t>
  </si>
  <si>
    <t>LEGO 42648 Panda Sanctuary Animal Care</t>
  </si>
  <si>
    <t>LEGO 42647 Paisley’s Room</t>
  </si>
  <si>
    <t>LEGO 42646 Autumn’s Room</t>
  </si>
  <si>
    <t>LEGO 42644 Heartlake City Ice Cream Truck</t>
  </si>
  <si>
    <t>LEGO 42642 Friendship Movie Night</t>
  </si>
  <si>
    <t>LEGO 42641 Surfing Dogs and Scooter Adventure</t>
  </si>
  <si>
    <t>LEGO 42638 Castle Bed and Breakfast</t>
  </si>
  <si>
    <t>LEGO 42635 Dog-Grooming Car</t>
  </si>
  <si>
    <t>Zavvi</t>
  </si>
  <si>
    <t>LEGO Friends Horse &amp; Baby Foal Trailer with Car Toy 42695</t>
  </si>
  <si>
    <t>LEGO City Airplane, Service Truck &amp; Hovercraft Remix 60505</t>
  </si>
  <si>
    <t>LEGO City: The LEGO Van Toy Building Set for Kids 60500</t>
  </si>
  <si>
    <t>LEGO Star Wars Cobb Vanth’s Speeder Toy for Kids 75437</t>
  </si>
  <si>
    <t>LEGO Friends Heartlake City Friends Club House Toy 42689</t>
  </si>
  <si>
    <t>LEGO® Friends Family Holiday Beach Resort Building Set 42673</t>
  </si>
  <si>
    <t>LEGO Friends Horse Stable and Riding Academy Toy 42688</t>
  </si>
  <si>
    <t>LEGO Friends Beach House with Seals Building Toy 42699</t>
  </si>
  <si>
    <t>LEGO Friends Heartlake City Mini Supermarket Shop Toy 42680</t>
  </si>
  <si>
    <t>LEGO Friends Fun Indoor Playground Toy with Mini Dolls 42686</t>
  </si>
  <si>
    <t>LEGO Friends Heartlake City Fashion Show Toy for Kids 42685</t>
  </si>
  <si>
    <t>LEGO Friends Animal Vet Clinic with Toy Horse Stable 42696</t>
  </si>
  <si>
    <t>LEGO City Snowplough Truck Toy Vehicle with Minifigure 60490</t>
  </si>
  <si>
    <t>LEGO City Coast Guard Rescue Boat &amp; Helicopter Playset 60504</t>
  </si>
  <si>
    <t>LEGO City Coast Guard Helicopter Toy Building Set 60503</t>
  </si>
  <si>
    <t>LEGO City Motorcycle Transporter Toy and 2 Minifigures 60491</t>
  </si>
  <si>
    <t>LEGO City Holiday Adventure Camper Van Toy Vehicle Set 60454</t>
  </si>
  <si>
    <t>LEGO City Airport with Airplane Toy Model Airport Set 60502</t>
  </si>
  <si>
    <t>LEGO City Yellow Taxi Model Car Kit with 2 Minifigures 60487</t>
  </si>
  <si>
    <t>LEGO Star Wars Grogu’s Homestead Toy Building Set 75443</t>
  </si>
  <si>
    <t>LEGO Star Wars Siege of Mandalore Battle Pack Set 75449</t>
  </si>
  <si>
    <t>LEGO Star Wars Clone Shock Trooper Mech Building Toy 75448</t>
  </si>
  <si>
    <t>JB Spielwaren</t>
  </si>
  <si>
    <t>LEGO 75455 Boba Fett™</t>
  </si>
  <si>
    <t>LEGO 75454 Imperial Remnant AT-AT™ with INT-4</t>
  </si>
  <si>
    <t>LEGO 75453 Offworld Sandcrawler™ and Mudhorn</t>
  </si>
  <si>
    <t>LEGO 75461 Up-Scaled Darth Vader™ Minifigure</t>
  </si>
  <si>
    <t>LEGO 75458 mperial Remnant AT-RT Driver™ Helmet</t>
  </si>
  <si>
    <t>LEGO 75456 Advent Calendar 2026</t>
  </si>
  <si>
    <t>LEGO 75451 Hutt Palace Sentry Droid Showdown</t>
  </si>
  <si>
    <t>LEGO 75442 The Mandalorian N-1 Starfighter</t>
  </si>
  <si>
    <t>LEGO 30728 The Razor Crest™ Mini-Build</t>
  </si>
  <si>
    <t>LEGO 75446 Grogu™ (apprenti du Mandalorien)</t>
  </si>
  <si>
    <t>LEGO 75447 The Razor Crest™</t>
  </si>
  <si>
    <t>LEGO 75439 Darth Vader™ Bust</t>
  </si>
  <si>
    <t>LEGO 75444 AT-RT™ Attack</t>
  </si>
  <si>
    <t>LEGO 75438 Yoda™ Bust</t>
  </si>
  <si>
    <t>LEGO 75452 The astromech droid BB-8</t>
  </si>
  <si>
    <t>LEGO 75443 Grogu's Homestead</t>
  </si>
  <si>
    <t>LEGO 75448 Clone Shock Trooper™ Mech</t>
  </si>
  <si>
    <t>LEGO 75436 The Mandalorian &amp; Grogu's Speeder Bike™</t>
  </si>
  <si>
    <t>LEGO 75437 Cobb Vanth's Speeder</t>
  </si>
  <si>
    <t>LEGO 75430 The Ewok Wicket™</t>
  </si>
  <si>
    <t>LEGO 40771 TIE Fighter with Imperial Hangar Rack</t>
  </si>
  <si>
    <t>LEGO 75435 Separatist MTT™ at the Battle of Felucia</t>
  </si>
  <si>
    <t>LEGO 42698 Advent Calendar 2026</t>
  </si>
  <si>
    <t>LEGO 42687 Liann's Family House</t>
  </si>
  <si>
    <t>LEGO 11386 SpongeBob SquarePants: Bikini Bottom</t>
  </si>
  <si>
    <t>LEGO 11382 Hubble Space Telescope</t>
  </si>
  <si>
    <t>LEGO 11383 Mayor Manor</t>
  </si>
  <si>
    <t>LEGO 11381 Jaguar E-Type</t>
  </si>
  <si>
    <t>LEGO 11380 Road Bike</t>
  </si>
  <si>
    <t>LEGO 11371 Shopping Street</t>
  </si>
  <si>
    <t>LEGO 11370 Stranger Things: The Creel House</t>
  </si>
  <si>
    <t>LEGO 10352 The Simpsons™: Krusty Burger</t>
  </si>
  <si>
    <t>LEGO 11384 Golden Retriever Puppy</t>
  </si>
  <si>
    <t>LEGO 11376 Ford Model T</t>
  </si>
  <si>
    <t>LEGO 11375 Ferrari F2004 &amp; Michael Schumacher</t>
  </si>
  <si>
    <t>LEGO 11373 The Lord of the Rings: Sauron's Helmet</t>
  </si>
  <si>
    <t>LEGO 11372 ICONS 11372</t>
  </si>
  <si>
    <t>LEGO 10357 Shelby Cobra 427 S/C</t>
  </si>
  <si>
    <t>LEGO 10358 Transformers: Soundwave</t>
  </si>
  <si>
    <t>LEGO 10367 The Lord of the Rings: Gandalf vs. Balrog</t>
  </si>
  <si>
    <t>LEGO 40814 Baby Elephant in the Sky</t>
  </si>
  <si>
    <t>LEGO 40690 Homage to the books of Jules Verne</t>
  </si>
  <si>
    <t>LEGO 40744 Christmas Ornament Selection</t>
  </si>
  <si>
    <t>LEGO 40743 Christmas Table Decoration</t>
  </si>
  <si>
    <t>LEGO 40721 Halloween Barn</t>
  </si>
  <si>
    <t>LEGO 40813 Lucky Cat</t>
  </si>
  <si>
    <t>LEGO 10335 Endurance</t>
  </si>
  <si>
    <t>LEGO 40824 Love messenger Tweety</t>
  </si>
  <si>
    <t>LEGO 40821 love bears</t>
  </si>
  <si>
    <t>LEGO 10353 Williams Racing FW14B with Nigel Mansell</t>
  </si>
  <si>
    <t>LEGO 10359 Spanish fountain garden</t>
  </si>
  <si>
    <t>LEGO 60510 Advent Calendar 2026</t>
  </si>
  <si>
    <t>LEGO 60493 F1® Truck with Audi F1® race car</t>
  </si>
  <si>
    <t>LEGO 60500 The LEGO® Van</t>
  </si>
  <si>
    <t>Product Name</t>
  </si>
  <si>
    <t>Category</t>
  </si>
  <si>
    <t>Lowest Price (€)</t>
  </si>
  <si>
    <t>Lowest Price Shop</t>
  </si>
  <si>
    <t>Highest Price (€)</t>
  </si>
  <si>
    <t>Highest Price Shop</t>
  </si>
  <si>
    <t>Price Difference (€)</t>
  </si>
  <si>
    <t># Shops Offering</t>
  </si>
  <si>
    <t>Note: 1 row with a missing ProductID was excluded from this analysis. 48 exact duplicate rows (Brickmo) were also removed. Zavvi rows are included because their prices are converted to EUR in the scraper. See 'Raw Data' tab for the cleaned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</si>
</sst>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5" x14ac:knownFonts="1">
    <font>
      <sz val="11"/>
      <color theme="1"/>
      <name val="Calibri"/>
      <family val="2"/>
      <scheme val="minor"/>
    </font>
    <font>
      <b/>
      <sz val="11"/>
      <name val="Arial"/>
    </font>
    <font>
      <sz val="11"/>
      <name val="Arial"/>
    </font>
    <font>
      <b/>
      <sz val="11"/>
      <color rgb="FFFFFFFF"/>
      <name val="Arial"/>
    </font>
    <font>
      <i/>
      <sz val="9"/>
      <name val="Arial"/>
    </font>
  </fonts>
  <fills count="4">
    <fill>
      <patternFill patternType="none"/>
    </fill>
    <fill>
      <patternFill patternType="gray125"/>
    </fill>
    <fill>
      <patternFill patternType="solid">
        <fgColor rgb="FFD9D9D9"/>
        <bgColor rgb="FFD9D9D9"/>
      </patternFill>
    </fill>
    <fill>
      <patternFill patternType="solid">
        <fgColor rgb="FF305496"/>
        <bgColor rgb="FF305496"/>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xf numFmtId="0" fontId="2" fillId="0" borderId="0" xfId="0" applyFont="1"/>
    <xf numFmtId="164" fontId="2" fillId="0" borderId="0" xfId="0" applyNumberFormat="1" applyFont="1"/>
    <xf numFmtId="0" fontId="3" fillId="3" borderId="0" xfId="0" applyFont="1" applyFill="1" applyAlignment="1">
      <alignment horizontal="center" wrapText="1"/>
    </xf>
    <xf numFmtId="0" fontId="2" fillId="0" borderId="0" xfId="0" applyFont="1" applyAlignment="1">
      <alignment horizontal="center"/>
    </xf>
    <xf numFmtId="0" fontId="2" fillId="0" borderId="0" xfId="0" applyFont="1" applyAlignment="1">
      <alignment horizontal="left"/>
    </xf>
    <xf numFmtId="164" fontId="2" fillId="0" borderId="0" xfId="0" applyNumberFormat="1" applyFont="1" applyAlignment="1">
      <alignment horizontal="center"/>
    </xf>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10"/>
  <sheetViews>
    <sheetView workbookViewId="0">
      <selection activeCell="K6" sqref="K6"/>
    </sheetView>
  </sheetViews>
  <sheetFormatPr defaultRowHeight="14.5" x14ac:dyDescent="0.35"/>
  <cols>
    <col min="1" max="1" width="16" customWidth="1"/>
    <col min="2" max="2" width="12" customWidth="1"/>
    <col min="3" max="3" width="16" customWidth="1"/>
    <col min="4" max="4" width="48" customWidth="1"/>
    <col min="5" max="5" width="10" customWidth="1"/>
  </cols>
  <sheetData>
    <row r="1" spans="1:5" x14ac:dyDescent="0.35">
      <c r="A1" s="1" t="s">
        <v>0</v>
      </c>
      <c r="B1" s="1" t="s">
        <v>1</v>
      </c>
      <c r="C1" s="1" t="s">
        <v>2</v>
      </c>
      <c r="D1" s="1" t="s">
        <v>3</v>
      </c>
      <c r="E1" s="1" t="s">
        <v>4</v>
      </c>
    </row>
    <row r="2" spans="1:5" x14ac:dyDescent="0.35">
      <c r="A2" s="2" t="s">
        <v>5</v>
      </c>
      <c r="B2" s="2">
        <v>60312</v>
      </c>
      <c r="C2" s="2" t="s">
        <v>6</v>
      </c>
      <c r="D2" s="2" t="s">
        <v>7</v>
      </c>
      <c r="E2" s="3">
        <v>8.19</v>
      </c>
    </row>
    <row r="3" spans="1:5" x14ac:dyDescent="0.35">
      <c r="A3" s="2" t="s">
        <v>5</v>
      </c>
      <c r="B3" s="2">
        <v>60480</v>
      </c>
      <c r="C3" s="2" t="s">
        <v>6</v>
      </c>
      <c r="D3" s="2" t="s">
        <v>8</v>
      </c>
      <c r="E3" s="3">
        <v>21.99</v>
      </c>
    </row>
    <row r="4" spans="1:5" x14ac:dyDescent="0.35">
      <c r="A4" s="2" t="s">
        <v>5</v>
      </c>
      <c r="B4" s="2">
        <v>60502</v>
      </c>
      <c r="C4" s="2" t="s">
        <v>6</v>
      </c>
      <c r="D4" s="2" t="s">
        <v>9</v>
      </c>
      <c r="E4" s="3">
        <v>79.900000000000006</v>
      </c>
    </row>
    <row r="5" spans="1:5" x14ac:dyDescent="0.35">
      <c r="A5" s="2" t="s">
        <v>5</v>
      </c>
      <c r="B5" s="2">
        <v>60373</v>
      </c>
      <c r="C5" s="2" t="s">
        <v>6</v>
      </c>
      <c r="D5" s="2" t="s">
        <v>10</v>
      </c>
      <c r="E5" s="3">
        <v>15.36</v>
      </c>
    </row>
    <row r="6" spans="1:5" x14ac:dyDescent="0.35">
      <c r="A6" s="2" t="s">
        <v>5</v>
      </c>
      <c r="B6" s="2">
        <v>60454</v>
      </c>
      <c r="C6" s="2" t="s">
        <v>6</v>
      </c>
      <c r="D6" s="2" t="s">
        <v>11</v>
      </c>
      <c r="E6" s="3">
        <v>22.5</v>
      </c>
    </row>
    <row r="7" spans="1:5" x14ac:dyDescent="0.35">
      <c r="A7" s="2" t="s">
        <v>5</v>
      </c>
      <c r="B7" s="2">
        <v>60430</v>
      </c>
      <c r="C7" s="2" t="s">
        <v>6</v>
      </c>
      <c r="D7" s="2" t="s">
        <v>12</v>
      </c>
      <c r="E7" s="3">
        <v>14.85</v>
      </c>
    </row>
    <row r="8" spans="1:5" x14ac:dyDescent="0.35">
      <c r="A8" s="2" t="s">
        <v>5</v>
      </c>
      <c r="B8" s="2">
        <v>60484</v>
      </c>
      <c r="C8" s="2" t="s">
        <v>6</v>
      </c>
      <c r="D8" s="2" t="s">
        <v>13</v>
      </c>
      <c r="E8" s="3">
        <v>7.43</v>
      </c>
    </row>
    <row r="9" spans="1:5" x14ac:dyDescent="0.35">
      <c r="A9" s="2" t="s">
        <v>5</v>
      </c>
      <c r="B9" s="2">
        <v>60419</v>
      </c>
      <c r="C9" s="2" t="s">
        <v>6</v>
      </c>
      <c r="D9" s="2" t="s">
        <v>14</v>
      </c>
      <c r="E9" s="3">
        <v>77.849999999999994</v>
      </c>
    </row>
    <row r="10" spans="1:5" x14ac:dyDescent="0.35">
      <c r="A10" s="2" t="s">
        <v>5</v>
      </c>
      <c r="B10" s="2">
        <v>60414</v>
      </c>
      <c r="C10" s="2" t="s">
        <v>6</v>
      </c>
      <c r="D10" s="2" t="s">
        <v>15</v>
      </c>
      <c r="E10" s="3">
        <v>61.45</v>
      </c>
    </row>
    <row r="11" spans="1:5" x14ac:dyDescent="0.35">
      <c r="A11" s="2" t="s">
        <v>5</v>
      </c>
      <c r="B11" s="2">
        <v>60483</v>
      </c>
      <c r="C11" s="2" t="s">
        <v>6</v>
      </c>
      <c r="D11" s="2" t="s">
        <v>16</v>
      </c>
      <c r="E11" s="3">
        <v>7.43</v>
      </c>
    </row>
    <row r="12" spans="1:5" x14ac:dyDescent="0.35">
      <c r="A12" s="2" t="s">
        <v>5</v>
      </c>
      <c r="B12" s="2">
        <v>60479</v>
      </c>
      <c r="C12" s="2" t="s">
        <v>6</v>
      </c>
      <c r="D12" s="2" t="s">
        <v>17</v>
      </c>
      <c r="E12" s="3">
        <v>15.88</v>
      </c>
    </row>
    <row r="13" spans="1:5" x14ac:dyDescent="0.35">
      <c r="A13" s="2" t="s">
        <v>5</v>
      </c>
      <c r="B13" s="2">
        <v>60465</v>
      </c>
      <c r="C13" s="2" t="s">
        <v>6</v>
      </c>
      <c r="D13" s="2" t="s">
        <v>18</v>
      </c>
      <c r="E13" s="3">
        <v>39.92</v>
      </c>
    </row>
    <row r="14" spans="1:5" x14ac:dyDescent="0.35">
      <c r="A14" s="2" t="s">
        <v>5</v>
      </c>
      <c r="B14" s="2">
        <v>60481</v>
      </c>
      <c r="C14" s="2" t="s">
        <v>6</v>
      </c>
      <c r="D14" s="2" t="s">
        <v>19</v>
      </c>
      <c r="E14" s="3">
        <v>7.43</v>
      </c>
    </row>
    <row r="15" spans="1:5" x14ac:dyDescent="0.35">
      <c r="A15" s="2" t="s">
        <v>5</v>
      </c>
      <c r="B15" s="2">
        <v>60404</v>
      </c>
      <c r="C15" s="2" t="s">
        <v>6</v>
      </c>
      <c r="D15" s="2" t="s">
        <v>20</v>
      </c>
      <c r="E15" s="3">
        <v>16.39</v>
      </c>
    </row>
    <row r="16" spans="1:5" x14ac:dyDescent="0.35">
      <c r="A16" s="2" t="s">
        <v>5</v>
      </c>
      <c r="B16" s="2">
        <v>60482</v>
      </c>
      <c r="C16" s="2" t="s">
        <v>6</v>
      </c>
      <c r="D16" s="2" t="s">
        <v>21</v>
      </c>
      <c r="E16" s="3">
        <v>7.43</v>
      </c>
    </row>
    <row r="17" spans="1:5" x14ac:dyDescent="0.35">
      <c r="A17" s="2" t="s">
        <v>5</v>
      </c>
      <c r="B17" s="2">
        <v>60486</v>
      </c>
      <c r="C17" s="2" t="s">
        <v>6</v>
      </c>
      <c r="D17" s="2" t="s">
        <v>22</v>
      </c>
      <c r="E17" s="3">
        <v>8.4600000000000009</v>
      </c>
    </row>
    <row r="18" spans="1:5" x14ac:dyDescent="0.35">
      <c r="A18" s="2" t="s">
        <v>5</v>
      </c>
      <c r="B18" s="2">
        <v>60505</v>
      </c>
      <c r="C18" s="2" t="s">
        <v>6</v>
      </c>
      <c r="D18" s="2" t="s">
        <v>23</v>
      </c>
      <c r="E18" s="3">
        <v>54.17</v>
      </c>
    </row>
    <row r="19" spans="1:5" x14ac:dyDescent="0.35">
      <c r="A19" s="2" t="s">
        <v>5</v>
      </c>
      <c r="B19" s="2">
        <v>60205</v>
      </c>
      <c r="C19" s="2" t="s">
        <v>6</v>
      </c>
      <c r="D19" s="2" t="s">
        <v>24</v>
      </c>
      <c r="E19" s="3">
        <v>15.36</v>
      </c>
    </row>
    <row r="20" spans="1:5" x14ac:dyDescent="0.35">
      <c r="A20" s="2" t="s">
        <v>5</v>
      </c>
      <c r="B20" s="2">
        <v>60368</v>
      </c>
      <c r="C20" s="2" t="s">
        <v>6</v>
      </c>
      <c r="D20" s="2" t="s">
        <v>25</v>
      </c>
      <c r="E20" s="3">
        <v>152.72999999999999</v>
      </c>
    </row>
    <row r="21" spans="1:5" x14ac:dyDescent="0.35">
      <c r="A21" s="2" t="s">
        <v>5</v>
      </c>
      <c r="B21" s="2">
        <v>60511</v>
      </c>
      <c r="C21" s="2" t="s">
        <v>6</v>
      </c>
      <c r="D21" s="2" t="s">
        <v>26</v>
      </c>
      <c r="E21" s="3">
        <v>70.67</v>
      </c>
    </row>
    <row r="22" spans="1:5" x14ac:dyDescent="0.35">
      <c r="A22" s="2" t="s">
        <v>5</v>
      </c>
      <c r="B22" s="2">
        <v>60506</v>
      </c>
      <c r="C22" s="2" t="s">
        <v>6</v>
      </c>
      <c r="D22" s="2" t="s">
        <v>27</v>
      </c>
      <c r="E22" s="3">
        <v>54.84</v>
      </c>
    </row>
    <row r="23" spans="1:5" x14ac:dyDescent="0.35">
      <c r="A23" s="2" t="s">
        <v>5</v>
      </c>
      <c r="B23" s="2">
        <v>60494</v>
      </c>
      <c r="C23" s="2" t="s">
        <v>6</v>
      </c>
      <c r="D23" s="2" t="s">
        <v>28</v>
      </c>
      <c r="E23" s="3">
        <v>96.86</v>
      </c>
    </row>
    <row r="24" spans="1:5" x14ac:dyDescent="0.35">
      <c r="A24" s="2" t="s">
        <v>5</v>
      </c>
      <c r="B24" s="2">
        <v>60492</v>
      </c>
      <c r="C24" s="2" t="s">
        <v>6</v>
      </c>
      <c r="D24" s="2" t="s">
        <v>29</v>
      </c>
      <c r="E24" s="3">
        <v>21.99</v>
      </c>
    </row>
    <row r="25" spans="1:5" x14ac:dyDescent="0.35">
      <c r="A25" s="2" t="s">
        <v>5</v>
      </c>
      <c r="B25" s="2">
        <v>60497</v>
      </c>
      <c r="C25" s="2" t="s">
        <v>6</v>
      </c>
      <c r="D25" s="2" t="s">
        <v>30</v>
      </c>
      <c r="E25" s="3">
        <v>42.49</v>
      </c>
    </row>
    <row r="26" spans="1:5" x14ac:dyDescent="0.35">
      <c r="A26" s="2" t="s">
        <v>5</v>
      </c>
      <c r="B26" s="2">
        <v>75455</v>
      </c>
      <c r="C26" s="2" t="s">
        <v>31</v>
      </c>
      <c r="D26" s="2" t="s">
        <v>32</v>
      </c>
      <c r="E26" s="3">
        <v>138.32</v>
      </c>
    </row>
    <row r="27" spans="1:5" x14ac:dyDescent="0.35">
      <c r="A27" s="2" t="s">
        <v>5</v>
      </c>
      <c r="B27" s="2">
        <v>75331</v>
      </c>
      <c r="C27" s="2" t="s">
        <v>31</v>
      </c>
      <c r="D27" s="2" t="s">
        <v>33</v>
      </c>
      <c r="E27" s="3">
        <v>665.22</v>
      </c>
    </row>
    <row r="28" spans="1:5" x14ac:dyDescent="0.35">
      <c r="A28" s="2" t="s">
        <v>5</v>
      </c>
      <c r="B28" s="2">
        <v>75192</v>
      </c>
      <c r="C28" s="2" t="s">
        <v>31</v>
      </c>
      <c r="D28" s="2" t="s">
        <v>34</v>
      </c>
      <c r="E28" s="3">
        <v>777.98</v>
      </c>
    </row>
    <row r="29" spans="1:5" x14ac:dyDescent="0.35">
      <c r="A29" s="2" t="s">
        <v>5</v>
      </c>
      <c r="B29" s="2">
        <v>40755</v>
      </c>
      <c r="C29" s="2" t="s">
        <v>31</v>
      </c>
      <c r="D29" s="2" t="s">
        <v>35</v>
      </c>
      <c r="E29" s="3">
        <v>49.15</v>
      </c>
    </row>
    <row r="30" spans="1:5" x14ac:dyDescent="0.35">
      <c r="A30" s="2" t="s">
        <v>5</v>
      </c>
      <c r="B30" s="2">
        <v>75383</v>
      </c>
      <c r="C30" s="2" t="s">
        <v>31</v>
      </c>
      <c r="D30" s="2" t="s">
        <v>36</v>
      </c>
      <c r="E30" s="3">
        <v>71.7</v>
      </c>
    </row>
    <row r="31" spans="1:5" x14ac:dyDescent="0.35">
      <c r="A31" s="2" t="s">
        <v>5</v>
      </c>
      <c r="B31" s="2">
        <v>75400</v>
      </c>
      <c r="C31" s="2" t="s">
        <v>31</v>
      </c>
      <c r="D31" s="2" t="s">
        <v>37</v>
      </c>
      <c r="E31" s="3">
        <v>11.78</v>
      </c>
    </row>
    <row r="32" spans="1:5" x14ac:dyDescent="0.35">
      <c r="A32" s="2" t="s">
        <v>5</v>
      </c>
      <c r="B32" s="2">
        <v>75397</v>
      </c>
      <c r="C32" s="2" t="s">
        <v>31</v>
      </c>
      <c r="D32" s="2" t="s">
        <v>38</v>
      </c>
      <c r="E32" s="3">
        <v>445.82</v>
      </c>
    </row>
    <row r="33" spans="1:5" x14ac:dyDescent="0.35">
      <c r="A33" s="2" t="s">
        <v>5</v>
      </c>
      <c r="B33" s="2">
        <v>75453</v>
      </c>
      <c r="C33" s="2" t="s">
        <v>31</v>
      </c>
      <c r="D33" s="2" t="s">
        <v>39</v>
      </c>
      <c r="E33" s="3">
        <v>163.95</v>
      </c>
    </row>
    <row r="34" spans="1:5" x14ac:dyDescent="0.35">
      <c r="A34" s="2" t="s">
        <v>5</v>
      </c>
      <c r="B34" s="2">
        <v>75454</v>
      </c>
      <c r="C34" s="2" t="s">
        <v>31</v>
      </c>
      <c r="D34" s="2" t="s">
        <v>40</v>
      </c>
      <c r="E34" s="3">
        <v>131.51</v>
      </c>
    </row>
    <row r="35" spans="1:5" x14ac:dyDescent="0.35">
      <c r="A35" s="2" t="s">
        <v>5</v>
      </c>
      <c r="B35" s="2">
        <v>75349</v>
      </c>
      <c r="C35" s="2" t="s">
        <v>31</v>
      </c>
      <c r="D35" s="2" t="s">
        <v>41</v>
      </c>
      <c r="E35" s="3">
        <v>71.7</v>
      </c>
    </row>
    <row r="36" spans="1:5" x14ac:dyDescent="0.35">
      <c r="A36" s="2" t="s">
        <v>5</v>
      </c>
      <c r="B36" s="2">
        <v>75345</v>
      </c>
      <c r="C36" s="2" t="s">
        <v>31</v>
      </c>
      <c r="D36" s="2" t="s">
        <v>42</v>
      </c>
      <c r="E36" s="3">
        <v>20.45</v>
      </c>
    </row>
    <row r="37" spans="1:5" x14ac:dyDescent="0.35">
      <c r="A37" s="2" t="s">
        <v>5</v>
      </c>
      <c r="B37" s="2">
        <v>75401</v>
      </c>
      <c r="C37" s="2" t="s">
        <v>31</v>
      </c>
      <c r="D37" s="2" t="s">
        <v>43</v>
      </c>
      <c r="E37" s="3">
        <v>36.85</v>
      </c>
    </row>
    <row r="38" spans="1:5" x14ac:dyDescent="0.35">
      <c r="A38" s="2" t="s">
        <v>5</v>
      </c>
      <c r="B38" s="2">
        <v>75347</v>
      </c>
      <c r="C38" s="2" t="s">
        <v>31</v>
      </c>
      <c r="D38" s="2" t="s">
        <v>44</v>
      </c>
      <c r="E38" s="3">
        <v>54.31</v>
      </c>
    </row>
    <row r="39" spans="1:5" x14ac:dyDescent="0.35">
      <c r="A39" s="2" t="s">
        <v>5</v>
      </c>
      <c r="B39" s="2">
        <v>75404</v>
      </c>
      <c r="C39" s="2" t="s">
        <v>31</v>
      </c>
      <c r="D39" s="2" t="s">
        <v>45</v>
      </c>
      <c r="E39" s="3">
        <v>40.950000000000003</v>
      </c>
    </row>
    <row r="40" spans="1:5" x14ac:dyDescent="0.35">
      <c r="A40" s="2" t="s">
        <v>5</v>
      </c>
      <c r="B40" s="2">
        <v>75403</v>
      </c>
      <c r="C40" s="2" t="s">
        <v>31</v>
      </c>
      <c r="D40" s="2" t="s">
        <v>46</v>
      </c>
      <c r="E40" s="3">
        <v>81.95</v>
      </c>
    </row>
    <row r="41" spans="1:5" x14ac:dyDescent="0.35">
      <c r="A41" s="2" t="s">
        <v>5</v>
      </c>
      <c r="B41" s="2">
        <v>75333</v>
      </c>
      <c r="C41" s="2" t="s">
        <v>31</v>
      </c>
      <c r="D41" s="2" t="s">
        <v>47</v>
      </c>
      <c r="E41" s="3">
        <v>35.82</v>
      </c>
    </row>
    <row r="42" spans="1:5" x14ac:dyDescent="0.35">
      <c r="A42" s="2" t="s">
        <v>5</v>
      </c>
      <c r="B42" s="2">
        <v>75373</v>
      </c>
      <c r="C42" s="2" t="s">
        <v>31</v>
      </c>
      <c r="D42" s="2" t="s">
        <v>48</v>
      </c>
      <c r="E42" s="3">
        <v>20.45</v>
      </c>
    </row>
    <row r="43" spans="1:5" x14ac:dyDescent="0.35">
      <c r="A43" s="2" t="s">
        <v>5</v>
      </c>
      <c r="B43" s="2">
        <v>75325</v>
      </c>
      <c r="C43" s="2" t="s">
        <v>31</v>
      </c>
      <c r="D43" s="2" t="s">
        <v>49</v>
      </c>
      <c r="E43" s="3">
        <v>60.48</v>
      </c>
    </row>
    <row r="44" spans="1:5" x14ac:dyDescent="0.35">
      <c r="A44" s="2" t="s">
        <v>5</v>
      </c>
      <c r="B44" s="2">
        <v>75456</v>
      </c>
      <c r="C44" s="2" t="s">
        <v>31</v>
      </c>
      <c r="D44" s="2" t="s">
        <v>50</v>
      </c>
      <c r="E44" s="3">
        <v>27.62</v>
      </c>
    </row>
    <row r="45" spans="1:5" x14ac:dyDescent="0.35">
      <c r="A45" s="2" t="s">
        <v>5</v>
      </c>
      <c r="B45" s="2">
        <v>75451</v>
      </c>
      <c r="C45" s="2" t="s">
        <v>31</v>
      </c>
      <c r="D45" s="2" t="s">
        <v>51</v>
      </c>
      <c r="E45" s="3">
        <v>39.36</v>
      </c>
    </row>
    <row r="46" spans="1:5" x14ac:dyDescent="0.35">
      <c r="A46" s="2" t="s">
        <v>5</v>
      </c>
      <c r="B46" s="2">
        <v>75439</v>
      </c>
      <c r="C46" s="2" t="s">
        <v>31</v>
      </c>
      <c r="D46" s="2" t="s">
        <v>52</v>
      </c>
      <c r="E46" s="3">
        <v>39.92</v>
      </c>
    </row>
    <row r="47" spans="1:5" x14ac:dyDescent="0.35">
      <c r="A47" s="2" t="s">
        <v>5</v>
      </c>
      <c r="B47" s="2">
        <v>75438</v>
      </c>
      <c r="C47" s="2" t="s">
        <v>31</v>
      </c>
      <c r="D47" s="2" t="s">
        <v>53</v>
      </c>
      <c r="E47" s="3">
        <v>31.72</v>
      </c>
    </row>
    <row r="48" spans="1:5" x14ac:dyDescent="0.35">
      <c r="A48" s="2" t="s">
        <v>5</v>
      </c>
      <c r="B48" s="2">
        <v>75446</v>
      </c>
      <c r="C48" s="2" t="s">
        <v>31</v>
      </c>
      <c r="D48" s="2" t="s">
        <v>54</v>
      </c>
      <c r="E48" s="3">
        <v>107.06</v>
      </c>
    </row>
    <row r="49" spans="1:5" x14ac:dyDescent="0.35">
      <c r="A49" s="2" t="s">
        <v>5</v>
      </c>
      <c r="B49" s="2">
        <v>75445</v>
      </c>
      <c r="C49" s="2" t="s">
        <v>31</v>
      </c>
      <c r="D49" s="2" t="s">
        <v>55</v>
      </c>
      <c r="E49" s="3">
        <v>60.42</v>
      </c>
    </row>
    <row r="50" spans="1:5" x14ac:dyDescent="0.35">
      <c r="A50" s="2" t="s">
        <v>5</v>
      </c>
      <c r="B50" s="2">
        <v>42673</v>
      </c>
      <c r="C50" s="2" t="s">
        <v>56</v>
      </c>
      <c r="D50" s="2" t="s">
        <v>57</v>
      </c>
      <c r="E50" s="3">
        <v>107.57</v>
      </c>
    </row>
    <row r="51" spans="1:5" x14ac:dyDescent="0.35">
      <c r="A51" s="2" t="s">
        <v>5</v>
      </c>
      <c r="B51" s="2">
        <v>42692</v>
      </c>
      <c r="C51" s="2" t="s">
        <v>56</v>
      </c>
      <c r="D51" s="2" t="s">
        <v>58</v>
      </c>
      <c r="E51" s="3">
        <v>7.43</v>
      </c>
    </row>
    <row r="52" spans="1:5" x14ac:dyDescent="0.35">
      <c r="A52" s="2" t="s">
        <v>5</v>
      </c>
      <c r="B52" s="2">
        <v>42648</v>
      </c>
      <c r="C52" s="2" t="s">
        <v>56</v>
      </c>
      <c r="D52" s="2" t="s">
        <v>59</v>
      </c>
      <c r="E52" s="3">
        <v>23.52</v>
      </c>
    </row>
    <row r="53" spans="1:5" x14ac:dyDescent="0.35">
      <c r="A53" s="2" t="s">
        <v>5</v>
      </c>
      <c r="B53" s="2">
        <v>42695</v>
      </c>
      <c r="C53" s="2" t="s">
        <v>56</v>
      </c>
      <c r="D53" s="2" t="s">
        <v>60</v>
      </c>
      <c r="E53" s="3">
        <v>22.09</v>
      </c>
    </row>
    <row r="54" spans="1:5" x14ac:dyDescent="0.35">
      <c r="A54" s="2" t="s">
        <v>5</v>
      </c>
      <c r="B54" s="2">
        <v>42703</v>
      </c>
      <c r="C54" s="2" t="s">
        <v>56</v>
      </c>
      <c r="D54" s="2" t="s">
        <v>61</v>
      </c>
      <c r="E54" s="3">
        <v>77.23</v>
      </c>
    </row>
    <row r="55" spans="1:5" x14ac:dyDescent="0.35">
      <c r="A55" s="2" t="s">
        <v>5</v>
      </c>
      <c r="B55" s="2">
        <v>42690</v>
      </c>
      <c r="C55" s="2" t="s">
        <v>56</v>
      </c>
      <c r="D55" s="2" t="s">
        <v>62</v>
      </c>
      <c r="E55" s="3">
        <v>7.38</v>
      </c>
    </row>
    <row r="56" spans="1:5" x14ac:dyDescent="0.35">
      <c r="A56" s="2" t="s">
        <v>5</v>
      </c>
      <c r="B56" s="2">
        <v>42700</v>
      </c>
      <c r="C56" s="2" t="s">
        <v>56</v>
      </c>
      <c r="D56" s="2" t="s">
        <v>63</v>
      </c>
      <c r="E56" s="3">
        <v>46.33</v>
      </c>
    </row>
    <row r="57" spans="1:5" x14ac:dyDescent="0.35">
      <c r="A57" s="2" t="s">
        <v>5</v>
      </c>
      <c r="B57" s="2">
        <v>42676</v>
      </c>
      <c r="C57" s="2" t="s">
        <v>56</v>
      </c>
      <c r="D57" s="2" t="s">
        <v>64</v>
      </c>
      <c r="E57" s="3">
        <v>21.99</v>
      </c>
    </row>
    <row r="58" spans="1:5" x14ac:dyDescent="0.35">
      <c r="A58" s="2" t="s">
        <v>5</v>
      </c>
      <c r="B58" s="2">
        <v>42693</v>
      </c>
      <c r="C58" s="2" t="s">
        <v>56</v>
      </c>
      <c r="D58" s="2" t="s">
        <v>65</v>
      </c>
      <c r="E58" s="3">
        <v>21.99</v>
      </c>
    </row>
    <row r="59" spans="1:5" x14ac:dyDescent="0.35">
      <c r="A59" s="2" t="s">
        <v>5</v>
      </c>
      <c r="B59" s="2">
        <v>42704</v>
      </c>
      <c r="C59" s="2" t="s">
        <v>56</v>
      </c>
      <c r="D59" s="2" t="s">
        <v>66</v>
      </c>
      <c r="E59" s="3">
        <v>121.05</v>
      </c>
    </row>
    <row r="60" spans="1:5" x14ac:dyDescent="0.35">
      <c r="A60" s="2" t="s">
        <v>5</v>
      </c>
      <c r="B60" s="2">
        <v>42682</v>
      </c>
      <c r="C60" s="2" t="s">
        <v>56</v>
      </c>
      <c r="D60" s="2" t="s">
        <v>67</v>
      </c>
      <c r="E60" s="3">
        <v>18.399999999999999</v>
      </c>
    </row>
    <row r="61" spans="1:5" x14ac:dyDescent="0.35">
      <c r="A61" s="2" t="s">
        <v>5</v>
      </c>
      <c r="B61" s="2">
        <v>42694</v>
      </c>
      <c r="C61" s="2" t="s">
        <v>56</v>
      </c>
      <c r="D61" s="2" t="s">
        <v>68</v>
      </c>
      <c r="E61" s="3">
        <v>11.02</v>
      </c>
    </row>
    <row r="62" spans="1:5" x14ac:dyDescent="0.35">
      <c r="A62" s="2" t="s">
        <v>5</v>
      </c>
      <c r="B62" s="2">
        <v>42697</v>
      </c>
      <c r="C62" s="2" t="s">
        <v>56</v>
      </c>
      <c r="D62" s="2" t="s">
        <v>69</v>
      </c>
      <c r="E62" s="3">
        <v>38.590000000000003</v>
      </c>
    </row>
    <row r="63" spans="1:5" x14ac:dyDescent="0.35">
      <c r="A63" s="2" t="s">
        <v>5</v>
      </c>
      <c r="B63" s="2">
        <v>42705</v>
      </c>
      <c r="C63" s="2" t="s">
        <v>56</v>
      </c>
      <c r="D63" s="2" t="s">
        <v>70</v>
      </c>
      <c r="E63" s="3">
        <v>77.23</v>
      </c>
    </row>
    <row r="64" spans="1:5" x14ac:dyDescent="0.35">
      <c r="A64" s="2" t="s">
        <v>5</v>
      </c>
      <c r="B64" s="2">
        <v>42702</v>
      </c>
      <c r="C64" s="2" t="s">
        <v>56</v>
      </c>
      <c r="D64" s="2" t="s">
        <v>71</v>
      </c>
      <c r="E64" s="3">
        <v>30.9</v>
      </c>
    </row>
    <row r="65" spans="1:5" x14ac:dyDescent="0.35">
      <c r="A65" s="2" t="s">
        <v>5</v>
      </c>
      <c r="B65" s="2">
        <v>42698</v>
      </c>
      <c r="C65" s="2" t="s">
        <v>56</v>
      </c>
      <c r="D65" s="2" t="s">
        <v>72</v>
      </c>
      <c r="E65" s="3">
        <v>19.78</v>
      </c>
    </row>
    <row r="66" spans="1:5" x14ac:dyDescent="0.35">
      <c r="A66" s="2" t="s">
        <v>5</v>
      </c>
      <c r="B66" s="2">
        <v>42659</v>
      </c>
      <c r="C66" s="2" t="s">
        <v>56</v>
      </c>
      <c r="D66" s="2" t="s">
        <v>73</v>
      </c>
      <c r="E66" s="3">
        <v>16.350000000000001</v>
      </c>
    </row>
    <row r="67" spans="1:5" x14ac:dyDescent="0.35">
      <c r="A67" s="2" t="s">
        <v>5</v>
      </c>
      <c r="B67" s="2">
        <v>42687</v>
      </c>
      <c r="C67" s="2" t="s">
        <v>56</v>
      </c>
      <c r="D67" s="2" t="s">
        <v>74</v>
      </c>
      <c r="E67" s="3">
        <v>54.17</v>
      </c>
    </row>
    <row r="68" spans="1:5" x14ac:dyDescent="0.35">
      <c r="A68" s="2" t="s">
        <v>5</v>
      </c>
      <c r="B68" s="2">
        <v>42663</v>
      </c>
      <c r="C68" s="2" t="s">
        <v>56</v>
      </c>
      <c r="D68" s="2" t="s">
        <v>75</v>
      </c>
      <c r="E68" s="3">
        <v>49.15</v>
      </c>
    </row>
    <row r="69" spans="1:5" x14ac:dyDescent="0.35">
      <c r="A69" s="2" t="s">
        <v>5</v>
      </c>
      <c r="B69" s="2">
        <v>42666</v>
      </c>
      <c r="C69" s="2" t="s">
        <v>56</v>
      </c>
      <c r="D69" s="2" t="s">
        <v>76</v>
      </c>
      <c r="E69" s="3">
        <v>22.5</v>
      </c>
    </row>
    <row r="70" spans="1:5" x14ac:dyDescent="0.35">
      <c r="A70" s="2" t="s">
        <v>5</v>
      </c>
      <c r="B70" s="2">
        <v>42652</v>
      </c>
      <c r="C70" s="2" t="s">
        <v>56</v>
      </c>
      <c r="D70" s="2" t="s">
        <v>77</v>
      </c>
      <c r="E70" s="3">
        <v>61.45</v>
      </c>
    </row>
    <row r="71" spans="1:5" x14ac:dyDescent="0.35">
      <c r="A71" s="2" t="s">
        <v>5</v>
      </c>
      <c r="B71" s="2">
        <v>42681</v>
      </c>
      <c r="C71" s="2" t="s">
        <v>56</v>
      </c>
      <c r="D71" s="2" t="s">
        <v>78</v>
      </c>
      <c r="E71" s="3">
        <v>8.4600000000000009</v>
      </c>
    </row>
    <row r="72" spans="1:5" x14ac:dyDescent="0.35">
      <c r="A72" s="2" t="s">
        <v>5</v>
      </c>
      <c r="B72" s="2">
        <v>41713</v>
      </c>
      <c r="C72" s="2" t="s">
        <v>56</v>
      </c>
      <c r="D72" s="2" t="s">
        <v>79</v>
      </c>
      <c r="E72" s="3">
        <v>71.7</v>
      </c>
    </row>
    <row r="73" spans="1:5" x14ac:dyDescent="0.35">
      <c r="A73" s="2" t="s">
        <v>5</v>
      </c>
      <c r="B73" s="2">
        <v>42647</v>
      </c>
      <c r="C73" s="2" t="s">
        <v>56</v>
      </c>
      <c r="D73" s="2" t="s">
        <v>80</v>
      </c>
      <c r="E73" s="3">
        <v>20.45</v>
      </c>
    </row>
    <row r="74" spans="1:5" x14ac:dyDescent="0.35">
      <c r="A74" s="2" t="s">
        <v>5</v>
      </c>
      <c r="B74" s="2">
        <v>11382</v>
      </c>
      <c r="C74" s="2" t="s">
        <v>81</v>
      </c>
      <c r="D74" s="2" t="s">
        <v>82</v>
      </c>
      <c r="E74" s="3">
        <v>106.55</v>
      </c>
    </row>
    <row r="75" spans="1:5" x14ac:dyDescent="0.35">
      <c r="A75" s="2" t="s">
        <v>5</v>
      </c>
      <c r="B75" s="2">
        <v>11375</v>
      </c>
      <c r="C75" s="2" t="s">
        <v>81</v>
      </c>
      <c r="D75" s="2" t="s">
        <v>83</v>
      </c>
      <c r="E75" s="3">
        <v>71.7</v>
      </c>
    </row>
    <row r="76" spans="1:5" x14ac:dyDescent="0.35">
      <c r="A76" s="2" t="s">
        <v>5</v>
      </c>
      <c r="B76" s="2">
        <v>11378</v>
      </c>
      <c r="C76" s="2" t="s">
        <v>81</v>
      </c>
      <c r="D76" s="2" t="s">
        <v>84</v>
      </c>
      <c r="E76" s="3">
        <v>235.7</v>
      </c>
    </row>
    <row r="77" spans="1:5" x14ac:dyDescent="0.35">
      <c r="A77" s="2" t="s">
        <v>5</v>
      </c>
      <c r="B77" s="2">
        <v>11381</v>
      </c>
      <c r="C77" s="2" t="s">
        <v>81</v>
      </c>
      <c r="D77" s="2" t="s">
        <v>85</v>
      </c>
      <c r="E77" s="3">
        <v>114.75</v>
      </c>
    </row>
    <row r="78" spans="1:5" x14ac:dyDescent="0.35">
      <c r="A78" s="2" t="s">
        <v>5</v>
      </c>
      <c r="B78" s="2">
        <v>11383</v>
      </c>
      <c r="C78" s="2" t="s">
        <v>81</v>
      </c>
      <c r="D78" s="2" t="s">
        <v>86</v>
      </c>
      <c r="E78" s="3">
        <v>90.46</v>
      </c>
    </row>
    <row r="79" spans="1:5" x14ac:dyDescent="0.35">
      <c r="A79" s="2" t="s">
        <v>5</v>
      </c>
      <c r="B79" s="2">
        <v>10331</v>
      </c>
      <c r="C79" s="2" t="s">
        <v>81</v>
      </c>
      <c r="D79" s="2" t="s">
        <v>87</v>
      </c>
      <c r="E79" s="3">
        <v>46.07</v>
      </c>
    </row>
    <row r="80" spans="1:5" x14ac:dyDescent="0.35">
      <c r="A80" s="2" t="s">
        <v>5</v>
      </c>
      <c r="B80" s="2">
        <v>11380</v>
      </c>
      <c r="C80" s="2" t="s">
        <v>81</v>
      </c>
      <c r="D80" s="2" t="s">
        <v>88</v>
      </c>
      <c r="E80" s="3">
        <v>98.66</v>
      </c>
    </row>
    <row r="81" spans="1:5" x14ac:dyDescent="0.35">
      <c r="A81" s="2" t="s">
        <v>5</v>
      </c>
      <c r="B81" s="2">
        <v>10360</v>
      </c>
      <c r="C81" s="2" t="s">
        <v>81</v>
      </c>
      <c r="D81" s="2" t="s">
        <v>89</v>
      </c>
      <c r="E81" s="3">
        <v>235.7</v>
      </c>
    </row>
    <row r="82" spans="1:5" x14ac:dyDescent="0.35">
      <c r="A82" s="2" t="s">
        <v>5</v>
      </c>
      <c r="B82" s="2">
        <v>11371</v>
      </c>
      <c r="C82" s="2" t="s">
        <v>81</v>
      </c>
      <c r="D82" s="2" t="s">
        <v>90</v>
      </c>
      <c r="E82" s="3">
        <v>244.98</v>
      </c>
    </row>
    <row r="83" spans="1:5" x14ac:dyDescent="0.35">
      <c r="A83" s="2" t="s">
        <v>5</v>
      </c>
      <c r="B83" s="2">
        <v>10335</v>
      </c>
      <c r="C83" s="2" t="s">
        <v>81</v>
      </c>
      <c r="D83" s="2" t="s">
        <v>91</v>
      </c>
      <c r="E83" s="3">
        <v>286.95</v>
      </c>
    </row>
    <row r="84" spans="1:5" x14ac:dyDescent="0.35">
      <c r="A84" s="2" t="s">
        <v>5</v>
      </c>
      <c r="B84" s="2">
        <v>10305</v>
      </c>
      <c r="C84" s="2" t="s">
        <v>81</v>
      </c>
      <c r="D84" s="2" t="s">
        <v>92</v>
      </c>
      <c r="E84" s="3">
        <v>589.38</v>
      </c>
    </row>
    <row r="85" spans="1:5" x14ac:dyDescent="0.35">
      <c r="A85" s="2" t="s">
        <v>5</v>
      </c>
      <c r="B85" s="2">
        <v>10307</v>
      </c>
      <c r="C85" s="2" t="s">
        <v>81</v>
      </c>
      <c r="D85" s="2" t="s">
        <v>93</v>
      </c>
      <c r="E85" s="3">
        <v>702.11</v>
      </c>
    </row>
    <row r="86" spans="1:5" x14ac:dyDescent="0.35">
      <c r="A86" s="2" t="s">
        <v>5</v>
      </c>
      <c r="B86" s="2">
        <v>11370</v>
      </c>
      <c r="C86" s="2" t="s">
        <v>81</v>
      </c>
      <c r="D86" s="2" t="s">
        <v>94</v>
      </c>
      <c r="E86" s="3">
        <v>271.57</v>
      </c>
    </row>
    <row r="87" spans="1:5" x14ac:dyDescent="0.35">
      <c r="A87" s="2" t="s">
        <v>5</v>
      </c>
      <c r="B87" s="2">
        <v>10333</v>
      </c>
      <c r="C87" s="2" t="s">
        <v>81</v>
      </c>
      <c r="D87" s="2" t="s">
        <v>95</v>
      </c>
      <c r="E87" s="3">
        <v>497.13</v>
      </c>
    </row>
    <row r="88" spans="1:5" x14ac:dyDescent="0.35">
      <c r="A88" s="2" t="s">
        <v>5</v>
      </c>
      <c r="B88" s="2">
        <v>10337</v>
      </c>
      <c r="C88" s="2" t="s">
        <v>81</v>
      </c>
      <c r="D88" s="2" t="s">
        <v>96</v>
      </c>
      <c r="E88" s="3">
        <v>174.2</v>
      </c>
    </row>
    <row r="89" spans="1:5" x14ac:dyDescent="0.35">
      <c r="A89" s="2" t="s">
        <v>5</v>
      </c>
      <c r="B89" s="2">
        <v>43018</v>
      </c>
      <c r="C89" s="2" t="s">
        <v>81</v>
      </c>
      <c r="D89" s="2" t="s">
        <v>97</v>
      </c>
      <c r="E89" s="3">
        <v>148.57</v>
      </c>
    </row>
    <row r="90" spans="1:5" x14ac:dyDescent="0.35">
      <c r="A90" s="2" t="s">
        <v>5</v>
      </c>
      <c r="B90" s="2">
        <v>10362</v>
      </c>
      <c r="C90" s="2" t="s">
        <v>81</v>
      </c>
      <c r="D90" s="2" t="s">
        <v>98</v>
      </c>
      <c r="E90" s="3">
        <v>64.56</v>
      </c>
    </row>
    <row r="91" spans="1:5" x14ac:dyDescent="0.35">
      <c r="A91" s="2" t="s">
        <v>5</v>
      </c>
      <c r="B91" s="2">
        <v>10328</v>
      </c>
      <c r="C91" s="2" t="s">
        <v>81</v>
      </c>
      <c r="D91" s="2" t="s">
        <v>99</v>
      </c>
      <c r="E91" s="3">
        <v>49.15</v>
      </c>
    </row>
    <row r="92" spans="1:5" x14ac:dyDescent="0.35">
      <c r="A92" s="2" t="s">
        <v>5</v>
      </c>
      <c r="B92" s="2">
        <v>11384</v>
      </c>
      <c r="C92" s="2" t="s">
        <v>81</v>
      </c>
      <c r="D92" s="2" t="s">
        <v>100</v>
      </c>
      <c r="E92" s="3">
        <v>111.73</v>
      </c>
    </row>
    <row r="93" spans="1:5" x14ac:dyDescent="0.35">
      <c r="A93" s="2" t="s">
        <v>5</v>
      </c>
      <c r="B93" s="2">
        <v>11373</v>
      </c>
      <c r="C93" s="2" t="s">
        <v>81</v>
      </c>
      <c r="D93" s="2" t="s">
        <v>101</v>
      </c>
      <c r="E93" s="3">
        <v>61.45</v>
      </c>
    </row>
    <row r="94" spans="1:5" x14ac:dyDescent="0.35">
      <c r="A94" s="2" t="s">
        <v>5</v>
      </c>
      <c r="B94" s="2">
        <v>11376</v>
      </c>
      <c r="C94" s="2" t="s">
        <v>81</v>
      </c>
      <c r="D94" s="2" t="s">
        <v>102</v>
      </c>
      <c r="E94" s="3">
        <v>107.57</v>
      </c>
    </row>
    <row r="95" spans="1:5" x14ac:dyDescent="0.35">
      <c r="A95" s="2" t="s">
        <v>5</v>
      </c>
      <c r="B95" s="2">
        <v>10356</v>
      </c>
      <c r="C95" s="2" t="s">
        <v>81</v>
      </c>
      <c r="D95" s="2" t="s">
        <v>103</v>
      </c>
      <c r="E95" s="3">
        <v>389.49</v>
      </c>
    </row>
    <row r="96" spans="1:5" x14ac:dyDescent="0.35">
      <c r="A96" s="2" t="s">
        <v>5</v>
      </c>
      <c r="B96" s="2">
        <v>10365</v>
      </c>
      <c r="C96" s="2" t="s">
        <v>81</v>
      </c>
      <c r="D96" s="2" t="s">
        <v>104</v>
      </c>
      <c r="E96" s="3">
        <v>358.74</v>
      </c>
    </row>
    <row r="97" spans="1:5" x14ac:dyDescent="0.35">
      <c r="A97" s="2" t="s">
        <v>5</v>
      </c>
      <c r="B97" s="2">
        <v>10315</v>
      </c>
      <c r="C97" s="2" t="s">
        <v>81</v>
      </c>
      <c r="D97" s="2" t="s">
        <v>105</v>
      </c>
      <c r="E97" s="3">
        <v>97.32</v>
      </c>
    </row>
    <row r="98" spans="1:5" x14ac:dyDescent="0.35">
      <c r="A98" s="2" t="s">
        <v>106</v>
      </c>
      <c r="B98" s="2">
        <v>60512</v>
      </c>
      <c r="C98" s="2" t="s">
        <v>6</v>
      </c>
      <c r="D98" s="2" t="s">
        <v>107</v>
      </c>
      <c r="E98" s="3">
        <v>33.15</v>
      </c>
    </row>
    <row r="99" spans="1:5" x14ac:dyDescent="0.35">
      <c r="A99" s="2" t="s">
        <v>106</v>
      </c>
      <c r="B99" s="2">
        <v>60511</v>
      </c>
      <c r="C99" s="2" t="s">
        <v>6</v>
      </c>
      <c r="D99" s="2" t="s">
        <v>108</v>
      </c>
      <c r="E99" s="3">
        <v>85.11</v>
      </c>
    </row>
    <row r="100" spans="1:5" x14ac:dyDescent="0.35">
      <c r="A100" s="2" t="s">
        <v>106</v>
      </c>
      <c r="B100" s="2">
        <v>60510</v>
      </c>
      <c r="C100" s="2" t="s">
        <v>6</v>
      </c>
      <c r="D100" s="2" t="s">
        <v>109</v>
      </c>
      <c r="E100" s="3">
        <v>25.42</v>
      </c>
    </row>
    <row r="101" spans="1:5" x14ac:dyDescent="0.35">
      <c r="A101" s="2" t="s">
        <v>106</v>
      </c>
      <c r="B101" s="2">
        <v>60509</v>
      </c>
      <c r="C101" s="2" t="s">
        <v>6</v>
      </c>
      <c r="D101" s="2" t="s">
        <v>110</v>
      </c>
      <c r="E101" s="3">
        <v>121.6</v>
      </c>
    </row>
    <row r="102" spans="1:5" x14ac:dyDescent="0.35">
      <c r="A102" s="2" t="s">
        <v>106</v>
      </c>
      <c r="B102" s="2">
        <v>60508</v>
      </c>
      <c r="C102" s="2" t="s">
        <v>6</v>
      </c>
      <c r="D102" s="2" t="s">
        <v>111</v>
      </c>
      <c r="E102" s="3">
        <v>187.93</v>
      </c>
    </row>
    <row r="103" spans="1:5" x14ac:dyDescent="0.35">
      <c r="A103" s="2" t="s">
        <v>106</v>
      </c>
      <c r="B103" s="2">
        <v>60506</v>
      </c>
      <c r="C103" s="2" t="s">
        <v>6</v>
      </c>
      <c r="D103" s="2" t="s">
        <v>112</v>
      </c>
      <c r="E103" s="3">
        <v>66.319999999999993</v>
      </c>
    </row>
    <row r="104" spans="1:5" x14ac:dyDescent="0.35">
      <c r="A104" s="2" t="s">
        <v>106</v>
      </c>
      <c r="B104" s="2">
        <v>60505</v>
      </c>
      <c r="C104" s="2" t="s">
        <v>6</v>
      </c>
      <c r="D104" s="2" t="s">
        <v>113</v>
      </c>
      <c r="E104" s="3">
        <v>66.319999999999993</v>
      </c>
    </row>
    <row r="105" spans="1:5" x14ac:dyDescent="0.35">
      <c r="A105" s="2" t="s">
        <v>106</v>
      </c>
      <c r="B105" s="2">
        <v>60504</v>
      </c>
      <c r="C105" s="2" t="s">
        <v>6</v>
      </c>
      <c r="D105" s="2" t="s">
        <v>114</v>
      </c>
      <c r="E105" s="3">
        <v>103.9</v>
      </c>
    </row>
    <row r="106" spans="1:5" x14ac:dyDescent="0.35">
      <c r="A106" s="2" t="s">
        <v>106</v>
      </c>
      <c r="B106" s="2">
        <v>60503</v>
      </c>
      <c r="C106" s="2" t="s">
        <v>6</v>
      </c>
      <c r="D106" s="2" t="s">
        <v>115</v>
      </c>
      <c r="E106" s="3">
        <v>56.37</v>
      </c>
    </row>
    <row r="107" spans="1:5" x14ac:dyDescent="0.35">
      <c r="A107" s="2" t="s">
        <v>106</v>
      </c>
      <c r="B107" s="2">
        <v>60502</v>
      </c>
      <c r="C107" s="2" t="s">
        <v>6</v>
      </c>
      <c r="D107" s="2" t="s">
        <v>116</v>
      </c>
      <c r="E107" s="3">
        <v>110.54</v>
      </c>
    </row>
    <row r="108" spans="1:5" x14ac:dyDescent="0.35">
      <c r="A108" s="2" t="s">
        <v>106</v>
      </c>
      <c r="B108" s="2">
        <v>60501</v>
      </c>
      <c r="C108" s="2" t="s">
        <v>6</v>
      </c>
      <c r="D108" s="2" t="s">
        <v>117</v>
      </c>
      <c r="E108" s="3">
        <v>121.6</v>
      </c>
    </row>
    <row r="109" spans="1:5" x14ac:dyDescent="0.35">
      <c r="A109" s="2" t="s">
        <v>106</v>
      </c>
      <c r="B109" s="2">
        <v>60500</v>
      </c>
      <c r="C109" s="2" t="s">
        <v>6</v>
      </c>
      <c r="D109" s="2" t="s">
        <v>118</v>
      </c>
      <c r="E109" s="3">
        <v>28.73</v>
      </c>
    </row>
    <row r="110" spans="1:5" x14ac:dyDescent="0.35">
      <c r="A110" s="2" t="s">
        <v>106</v>
      </c>
      <c r="B110" s="2">
        <v>60499</v>
      </c>
      <c r="C110" s="2" t="s">
        <v>6</v>
      </c>
      <c r="D110" s="2" t="s">
        <v>119</v>
      </c>
      <c r="E110" s="3">
        <v>77.37</v>
      </c>
    </row>
    <row r="111" spans="1:5" x14ac:dyDescent="0.35">
      <c r="A111" s="2" t="s">
        <v>106</v>
      </c>
      <c r="B111" s="2">
        <v>60498</v>
      </c>
      <c r="C111" s="2" t="s">
        <v>6</v>
      </c>
      <c r="D111" s="2" t="s">
        <v>120</v>
      </c>
      <c r="E111" s="3">
        <v>18.78</v>
      </c>
    </row>
    <row r="112" spans="1:5" x14ac:dyDescent="0.35">
      <c r="A112" s="2" t="s">
        <v>106</v>
      </c>
      <c r="B112" s="2">
        <v>60497</v>
      </c>
      <c r="C112" s="2" t="s">
        <v>6</v>
      </c>
      <c r="D112" s="2" t="s">
        <v>121</v>
      </c>
      <c r="E112" s="3">
        <v>51.95</v>
      </c>
    </row>
    <row r="113" spans="1:5" x14ac:dyDescent="0.35">
      <c r="A113" s="2" t="s">
        <v>106</v>
      </c>
      <c r="B113" s="2">
        <v>60496</v>
      </c>
      <c r="C113" s="2" t="s">
        <v>6</v>
      </c>
      <c r="D113" s="2" t="s">
        <v>122</v>
      </c>
      <c r="E113" s="3">
        <v>47.53</v>
      </c>
    </row>
    <row r="114" spans="1:5" x14ac:dyDescent="0.35">
      <c r="A114" s="2" t="s">
        <v>106</v>
      </c>
      <c r="B114" s="2">
        <v>60495</v>
      </c>
      <c r="C114" s="2" t="s">
        <v>6</v>
      </c>
      <c r="D114" s="2" t="s">
        <v>123</v>
      </c>
      <c r="E114" s="3">
        <v>60.79</v>
      </c>
    </row>
    <row r="115" spans="1:5" x14ac:dyDescent="0.35">
      <c r="A115" s="2" t="s">
        <v>106</v>
      </c>
      <c r="B115" s="2">
        <v>60494</v>
      </c>
      <c r="C115" s="2" t="s">
        <v>6</v>
      </c>
      <c r="D115" s="2" t="s">
        <v>124</v>
      </c>
      <c r="E115" s="3">
        <v>112.75</v>
      </c>
    </row>
    <row r="116" spans="1:5" x14ac:dyDescent="0.35">
      <c r="A116" s="2" t="s">
        <v>106</v>
      </c>
      <c r="B116" s="2">
        <v>60493</v>
      </c>
      <c r="C116" s="2" t="s">
        <v>6</v>
      </c>
      <c r="D116" s="2" t="s">
        <v>125</v>
      </c>
      <c r="E116" s="3">
        <v>43.1</v>
      </c>
    </row>
    <row r="117" spans="1:5" x14ac:dyDescent="0.35">
      <c r="A117" s="2" t="s">
        <v>106</v>
      </c>
      <c r="B117" s="2">
        <v>60492</v>
      </c>
      <c r="C117" s="2" t="s">
        <v>6</v>
      </c>
      <c r="D117" s="2" t="s">
        <v>126</v>
      </c>
      <c r="E117" s="3">
        <v>28.73</v>
      </c>
    </row>
    <row r="118" spans="1:5" x14ac:dyDescent="0.35">
      <c r="A118" s="2" t="s">
        <v>106</v>
      </c>
      <c r="B118" s="2">
        <v>60491</v>
      </c>
      <c r="C118" s="2" t="s">
        <v>6</v>
      </c>
      <c r="D118" s="2" t="s">
        <v>127</v>
      </c>
      <c r="E118" s="3">
        <v>18.78</v>
      </c>
    </row>
    <row r="119" spans="1:5" x14ac:dyDescent="0.35">
      <c r="A119" s="2" t="s">
        <v>106</v>
      </c>
      <c r="B119" s="2">
        <v>60490</v>
      </c>
      <c r="C119" s="2" t="s">
        <v>6</v>
      </c>
      <c r="D119" s="2" t="s">
        <v>128</v>
      </c>
      <c r="E119" s="3">
        <v>24.31</v>
      </c>
    </row>
    <row r="120" spans="1:5" x14ac:dyDescent="0.35">
      <c r="A120" s="2" t="s">
        <v>106</v>
      </c>
      <c r="B120" s="2">
        <v>60489</v>
      </c>
      <c r="C120" s="2" t="s">
        <v>6</v>
      </c>
      <c r="D120" s="2" t="s">
        <v>129</v>
      </c>
      <c r="E120" s="3">
        <v>28.73</v>
      </c>
    </row>
    <row r="121" spans="1:5" x14ac:dyDescent="0.35">
      <c r="A121" s="2" t="s">
        <v>106</v>
      </c>
      <c r="B121" s="2">
        <v>60488</v>
      </c>
      <c r="C121" s="2" t="s">
        <v>6</v>
      </c>
      <c r="D121" s="2" t="s">
        <v>130</v>
      </c>
      <c r="E121" s="3">
        <v>22.1</v>
      </c>
    </row>
    <row r="122" spans="1:5" x14ac:dyDescent="0.35">
      <c r="A122" s="2" t="s">
        <v>106</v>
      </c>
      <c r="B122" s="2">
        <v>60487</v>
      </c>
      <c r="C122" s="2" t="s">
        <v>6</v>
      </c>
      <c r="D122" s="2" t="s">
        <v>131</v>
      </c>
      <c r="E122" s="3">
        <v>16.57</v>
      </c>
    </row>
    <row r="123" spans="1:5" x14ac:dyDescent="0.35">
      <c r="A123" s="2" t="s">
        <v>106</v>
      </c>
      <c r="B123" s="2">
        <v>60486</v>
      </c>
      <c r="C123" s="2" t="s">
        <v>6</v>
      </c>
      <c r="D123" s="2" t="s">
        <v>132</v>
      </c>
      <c r="E123" s="3">
        <v>9.94</v>
      </c>
    </row>
    <row r="124" spans="1:5" x14ac:dyDescent="0.35">
      <c r="A124" s="2" t="s">
        <v>106</v>
      </c>
      <c r="B124" s="2">
        <v>60485</v>
      </c>
      <c r="C124" s="2" t="s">
        <v>6</v>
      </c>
      <c r="D124" s="2" t="s">
        <v>133</v>
      </c>
      <c r="E124" s="3">
        <v>9.94</v>
      </c>
    </row>
    <row r="125" spans="1:5" x14ac:dyDescent="0.35">
      <c r="A125" s="2" t="s">
        <v>106</v>
      </c>
      <c r="B125" s="2">
        <v>60484</v>
      </c>
      <c r="C125" s="2" t="s">
        <v>6</v>
      </c>
      <c r="D125" s="2" t="s">
        <v>134</v>
      </c>
      <c r="E125" s="3">
        <v>9.94</v>
      </c>
    </row>
    <row r="126" spans="1:5" x14ac:dyDescent="0.35">
      <c r="A126" s="2" t="s">
        <v>106</v>
      </c>
      <c r="B126" s="2">
        <v>60483</v>
      </c>
      <c r="C126" s="2" t="s">
        <v>6</v>
      </c>
      <c r="D126" s="2" t="s">
        <v>135</v>
      </c>
      <c r="E126" s="3">
        <v>9.94</v>
      </c>
    </row>
    <row r="127" spans="1:5" x14ac:dyDescent="0.35">
      <c r="A127" s="2" t="s">
        <v>106</v>
      </c>
      <c r="B127" s="2">
        <v>60482</v>
      </c>
      <c r="C127" s="2" t="s">
        <v>6</v>
      </c>
      <c r="D127" s="2" t="s">
        <v>136</v>
      </c>
      <c r="E127" s="3">
        <v>9.94</v>
      </c>
    </row>
    <row r="128" spans="1:5" x14ac:dyDescent="0.35">
      <c r="A128" s="2" t="s">
        <v>106</v>
      </c>
      <c r="B128" s="2">
        <v>60481</v>
      </c>
      <c r="C128" s="2" t="s">
        <v>6</v>
      </c>
      <c r="D128" s="2" t="s">
        <v>137</v>
      </c>
      <c r="E128" s="3">
        <v>9.94</v>
      </c>
    </row>
    <row r="129" spans="1:5" x14ac:dyDescent="0.35">
      <c r="A129" s="2" t="s">
        <v>106</v>
      </c>
      <c r="B129" s="2">
        <v>60480</v>
      </c>
      <c r="C129" s="2" t="s">
        <v>6</v>
      </c>
      <c r="D129" s="2" t="s">
        <v>138</v>
      </c>
      <c r="E129" s="3">
        <v>28.73</v>
      </c>
    </row>
    <row r="130" spans="1:5" x14ac:dyDescent="0.35">
      <c r="A130" s="2" t="s">
        <v>106</v>
      </c>
      <c r="B130" s="2">
        <v>60479</v>
      </c>
      <c r="C130" s="2" t="s">
        <v>6</v>
      </c>
      <c r="D130" s="2" t="s">
        <v>139</v>
      </c>
      <c r="E130" s="3">
        <v>18.78</v>
      </c>
    </row>
    <row r="131" spans="1:5" x14ac:dyDescent="0.35">
      <c r="A131" s="2" t="s">
        <v>106</v>
      </c>
      <c r="B131" s="2">
        <v>60478</v>
      </c>
      <c r="C131" s="2" t="s">
        <v>6</v>
      </c>
      <c r="D131" s="2" t="s">
        <v>140</v>
      </c>
      <c r="E131" s="3">
        <v>37.58</v>
      </c>
    </row>
    <row r="132" spans="1:5" x14ac:dyDescent="0.35">
      <c r="A132" s="2" t="s">
        <v>106</v>
      </c>
      <c r="B132" s="2">
        <v>60474</v>
      </c>
      <c r="C132" s="2" t="s">
        <v>6</v>
      </c>
      <c r="D132" s="2" t="s">
        <v>141</v>
      </c>
      <c r="E132" s="3">
        <v>44.21</v>
      </c>
    </row>
    <row r="133" spans="1:5" x14ac:dyDescent="0.35">
      <c r="A133" s="2" t="s">
        <v>106</v>
      </c>
      <c r="B133" s="2">
        <v>60473</v>
      </c>
      <c r="C133" s="2" t="s">
        <v>6</v>
      </c>
      <c r="D133" s="2" t="s">
        <v>142</v>
      </c>
      <c r="E133" s="3">
        <v>232.15</v>
      </c>
    </row>
    <row r="134" spans="1:5" x14ac:dyDescent="0.35">
      <c r="A134" s="2" t="s">
        <v>106</v>
      </c>
      <c r="B134" s="2">
        <v>60471</v>
      </c>
      <c r="C134" s="2" t="s">
        <v>6</v>
      </c>
      <c r="D134" s="2" t="s">
        <v>143</v>
      </c>
      <c r="E134" s="3">
        <v>98.38</v>
      </c>
    </row>
    <row r="135" spans="1:5" x14ac:dyDescent="0.35">
      <c r="A135" s="2" t="s">
        <v>106</v>
      </c>
      <c r="B135" s="2">
        <v>60470</v>
      </c>
      <c r="C135" s="2" t="s">
        <v>6</v>
      </c>
      <c r="D135" s="2" t="s">
        <v>144</v>
      </c>
      <c r="E135" s="3">
        <v>221.09</v>
      </c>
    </row>
    <row r="136" spans="1:5" x14ac:dyDescent="0.35">
      <c r="A136" s="2" t="s">
        <v>106</v>
      </c>
      <c r="B136" s="2">
        <v>60469</v>
      </c>
      <c r="C136" s="2" t="s">
        <v>6</v>
      </c>
      <c r="D136" s="2" t="s">
        <v>145</v>
      </c>
      <c r="E136" s="3">
        <v>77.37</v>
      </c>
    </row>
    <row r="137" spans="1:5" x14ac:dyDescent="0.35">
      <c r="A137" s="2" t="s">
        <v>106</v>
      </c>
      <c r="B137" s="2">
        <v>60467</v>
      </c>
      <c r="C137" s="2" t="s">
        <v>6</v>
      </c>
      <c r="D137" s="2" t="s">
        <v>146</v>
      </c>
      <c r="E137" s="3">
        <v>99.49</v>
      </c>
    </row>
    <row r="138" spans="1:5" x14ac:dyDescent="0.35">
      <c r="A138" s="2" t="s">
        <v>106</v>
      </c>
      <c r="B138" s="2">
        <v>60466</v>
      </c>
      <c r="C138" s="2" t="s">
        <v>6</v>
      </c>
      <c r="D138" s="2" t="s">
        <v>147</v>
      </c>
      <c r="E138" s="3">
        <v>66.319999999999993</v>
      </c>
    </row>
    <row r="139" spans="1:5" x14ac:dyDescent="0.35">
      <c r="A139" s="2" t="s">
        <v>106</v>
      </c>
      <c r="B139" s="2">
        <v>60465</v>
      </c>
      <c r="C139" s="2" t="s">
        <v>6</v>
      </c>
      <c r="D139" s="2" t="s">
        <v>148</v>
      </c>
      <c r="E139" s="3">
        <v>55.26</v>
      </c>
    </row>
    <row r="140" spans="1:5" x14ac:dyDescent="0.35">
      <c r="A140" s="2" t="s">
        <v>106</v>
      </c>
      <c r="B140" s="2">
        <v>60464</v>
      </c>
      <c r="C140" s="2" t="s">
        <v>6</v>
      </c>
      <c r="D140" s="2" t="s">
        <v>149</v>
      </c>
      <c r="E140" s="3">
        <v>17.68</v>
      </c>
    </row>
    <row r="141" spans="1:5" x14ac:dyDescent="0.35">
      <c r="A141" s="2" t="s">
        <v>106</v>
      </c>
      <c r="B141" s="2">
        <v>60463</v>
      </c>
      <c r="C141" s="2" t="s">
        <v>6</v>
      </c>
      <c r="D141" s="2" t="s">
        <v>150</v>
      </c>
      <c r="E141" s="3">
        <v>17.68</v>
      </c>
    </row>
    <row r="142" spans="1:5" x14ac:dyDescent="0.35">
      <c r="A142" s="2" t="s">
        <v>106</v>
      </c>
      <c r="B142" s="2">
        <v>60462</v>
      </c>
      <c r="C142" s="2" t="s">
        <v>6</v>
      </c>
      <c r="D142" s="2" t="s">
        <v>151</v>
      </c>
      <c r="E142" s="3">
        <v>66.319999999999993</v>
      </c>
    </row>
    <row r="143" spans="1:5" x14ac:dyDescent="0.35">
      <c r="A143" s="2" t="s">
        <v>106</v>
      </c>
      <c r="B143" s="2">
        <v>60459</v>
      </c>
      <c r="C143" s="2" t="s">
        <v>6</v>
      </c>
      <c r="D143" s="2" t="s">
        <v>152</v>
      </c>
      <c r="E143" s="3">
        <v>11.04</v>
      </c>
    </row>
    <row r="144" spans="1:5" x14ac:dyDescent="0.35">
      <c r="A144" s="2" t="s">
        <v>106</v>
      </c>
      <c r="B144" s="2">
        <v>60458</v>
      </c>
      <c r="C144" s="2" t="s">
        <v>6</v>
      </c>
      <c r="D144" s="2" t="s">
        <v>153</v>
      </c>
      <c r="E144" s="3">
        <v>11.04</v>
      </c>
    </row>
    <row r="145" spans="1:5" x14ac:dyDescent="0.35">
      <c r="A145" s="2" t="s">
        <v>106</v>
      </c>
      <c r="B145" s="2">
        <v>60457</v>
      </c>
      <c r="C145" s="2" t="s">
        <v>6</v>
      </c>
      <c r="D145" s="2" t="s">
        <v>154</v>
      </c>
      <c r="E145" s="3">
        <v>66.319999999999993</v>
      </c>
    </row>
    <row r="146" spans="1:5" x14ac:dyDescent="0.35">
      <c r="A146" s="2" t="s">
        <v>106</v>
      </c>
      <c r="B146" s="2">
        <v>60456</v>
      </c>
      <c r="C146" s="2" t="s">
        <v>6</v>
      </c>
      <c r="D146" s="2" t="s">
        <v>155</v>
      </c>
      <c r="E146" s="3">
        <v>33.15</v>
      </c>
    </row>
    <row r="147" spans="1:5" x14ac:dyDescent="0.35">
      <c r="A147" s="2" t="s">
        <v>106</v>
      </c>
      <c r="B147" s="2">
        <v>60455</v>
      </c>
      <c r="C147" s="2" t="s">
        <v>6</v>
      </c>
      <c r="D147" s="2" t="s">
        <v>156</v>
      </c>
      <c r="E147" s="3">
        <v>8.83</v>
      </c>
    </row>
    <row r="148" spans="1:5" x14ac:dyDescent="0.35">
      <c r="A148" s="2" t="s">
        <v>106</v>
      </c>
      <c r="B148" s="2">
        <v>60454</v>
      </c>
      <c r="C148" s="2" t="s">
        <v>6</v>
      </c>
      <c r="D148" s="2" t="s">
        <v>157</v>
      </c>
      <c r="E148" s="3">
        <v>33.15</v>
      </c>
    </row>
    <row r="149" spans="1:5" x14ac:dyDescent="0.35">
      <c r="A149" s="2" t="s">
        <v>106</v>
      </c>
      <c r="B149" s="2">
        <v>60453</v>
      </c>
      <c r="C149" s="2" t="s">
        <v>6</v>
      </c>
      <c r="D149" s="2" t="s">
        <v>158</v>
      </c>
      <c r="E149" s="3">
        <v>27.63</v>
      </c>
    </row>
    <row r="150" spans="1:5" x14ac:dyDescent="0.35">
      <c r="A150" s="2" t="s">
        <v>106</v>
      </c>
      <c r="B150" s="2">
        <v>60452</v>
      </c>
      <c r="C150" s="2" t="s">
        <v>6</v>
      </c>
      <c r="D150" s="2" t="s">
        <v>159</v>
      </c>
      <c r="E150" s="3">
        <v>22.1</v>
      </c>
    </row>
    <row r="151" spans="1:5" x14ac:dyDescent="0.35">
      <c r="A151" s="2" t="s">
        <v>106</v>
      </c>
      <c r="B151" s="2">
        <v>60451</v>
      </c>
      <c r="C151" s="2" t="s">
        <v>6</v>
      </c>
      <c r="D151" s="2" t="s">
        <v>160</v>
      </c>
      <c r="E151" s="3">
        <v>17.68</v>
      </c>
    </row>
    <row r="152" spans="1:5" x14ac:dyDescent="0.35">
      <c r="A152" s="2" t="s">
        <v>106</v>
      </c>
      <c r="B152" s="2">
        <v>60449</v>
      </c>
      <c r="C152" s="2" t="s">
        <v>6</v>
      </c>
      <c r="D152" s="2" t="s">
        <v>161</v>
      </c>
      <c r="E152" s="3">
        <v>55.26</v>
      </c>
    </row>
    <row r="153" spans="1:5" x14ac:dyDescent="0.35">
      <c r="A153" s="2" t="s">
        <v>106</v>
      </c>
      <c r="B153" s="2">
        <v>60447</v>
      </c>
      <c r="C153" s="2" t="s">
        <v>6</v>
      </c>
      <c r="D153" s="2" t="s">
        <v>162</v>
      </c>
      <c r="E153" s="3">
        <v>17.68</v>
      </c>
    </row>
    <row r="154" spans="1:5" x14ac:dyDescent="0.35">
      <c r="A154" s="2" t="s">
        <v>106</v>
      </c>
      <c r="B154" s="2">
        <v>60446</v>
      </c>
      <c r="C154" s="2" t="s">
        <v>6</v>
      </c>
      <c r="D154" s="2" t="s">
        <v>163</v>
      </c>
      <c r="E154" s="3">
        <v>99.49</v>
      </c>
    </row>
    <row r="155" spans="1:5" x14ac:dyDescent="0.35">
      <c r="A155" s="2" t="s">
        <v>106</v>
      </c>
      <c r="B155" s="2">
        <v>60445</v>
      </c>
      <c r="C155" s="2" t="s">
        <v>6</v>
      </c>
      <c r="D155" s="2" t="s">
        <v>164</v>
      </c>
      <c r="E155" s="3">
        <v>110.54</v>
      </c>
    </row>
    <row r="156" spans="1:5" x14ac:dyDescent="0.35">
      <c r="A156" s="2" t="s">
        <v>106</v>
      </c>
      <c r="B156" s="2">
        <v>60444</v>
      </c>
      <c r="C156" s="2" t="s">
        <v>6</v>
      </c>
      <c r="D156" s="2" t="s">
        <v>165</v>
      </c>
      <c r="E156" s="3">
        <v>88.43</v>
      </c>
    </row>
    <row r="157" spans="1:5" x14ac:dyDescent="0.35">
      <c r="A157" s="2" t="s">
        <v>106</v>
      </c>
      <c r="B157" s="2">
        <v>60443</v>
      </c>
      <c r="C157" s="2" t="s">
        <v>6</v>
      </c>
      <c r="D157" s="2" t="s">
        <v>166</v>
      </c>
      <c r="E157" s="3">
        <v>26.52</v>
      </c>
    </row>
    <row r="158" spans="1:5" x14ac:dyDescent="0.35">
      <c r="A158" s="2" t="s">
        <v>106</v>
      </c>
      <c r="B158" s="2">
        <v>75535</v>
      </c>
      <c r="C158" s="2" t="s">
        <v>31</v>
      </c>
      <c r="D158" s="2" t="s">
        <v>167</v>
      </c>
      <c r="E158" s="3">
        <v>33.15</v>
      </c>
    </row>
    <row r="159" spans="1:5" x14ac:dyDescent="0.35">
      <c r="A159" s="2" t="s">
        <v>106</v>
      </c>
      <c r="B159" s="2">
        <v>75528</v>
      </c>
      <c r="C159" s="2" t="s">
        <v>31</v>
      </c>
      <c r="D159" s="2" t="s">
        <v>168</v>
      </c>
      <c r="E159" s="3">
        <v>27.63</v>
      </c>
    </row>
    <row r="160" spans="1:5" x14ac:dyDescent="0.35">
      <c r="A160" s="2" t="s">
        <v>106</v>
      </c>
      <c r="B160" s="2">
        <v>75525</v>
      </c>
      <c r="C160" s="2" t="s">
        <v>31</v>
      </c>
      <c r="D160" s="2" t="s">
        <v>169</v>
      </c>
      <c r="E160" s="3">
        <v>22.1</v>
      </c>
    </row>
    <row r="161" spans="1:5" x14ac:dyDescent="0.35">
      <c r="A161" s="2" t="s">
        <v>106</v>
      </c>
      <c r="B161" s="2">
        <v>75524</v>
      </c>
      <c r="C161" s="2" t="s">
        <v>31</v>
      </c>
      <c r="D161" s="2" t="s">
        <v>170</v>
      </c>
      <c r="E161" s="3">
        <v>22.1</v>
      </c>
    </row>
    <row r="162" spans="1:5" x14ac:dyDescent="0.35">
      <c r="A162" s="2" t="s">
        <v>106</v>
      </c>
      <c r="B162" s="2">
        <v>75461</v>
      </c>
      <c r="C162" s="2" t="s">
        <v>31</v>
      </c>
      <c r="D162" s="2" t="s">
        <v>171</v>
      </c>
      <c r="E162" s="3">
        <v>121.6</v>
      </c>
    </row>
    <row r="163" spans="1:5" x14ac:dyDescent="0.35">
      <c r="A163" s="2" t="s">
        <v>106</v>
      </c>
      <c r="B163" s="2">
        <v>75460</v>
      </c>
      <c r="C163" s="2" t="s">
        <v>31</v>
      </c>
      <c r="D163" s="2" t="s">
        <v>172</v>
      </c>
      <c r="E163" s="3">
        <v>88.43</v>
      </c>
    </row>
    <row r="164" spans="1:5" x14ac:dyDescent="0.35">
      <c r="A164" s="2" t="s">
        <v>106</v>
      </c>
      <c r="B164" s="2">
        <v>75459</v>
      </c>
      <c r="C164" s="2" t="s">
        <v>31</v>
      </c>
      <c r="D164" s="2" t="s">
        <v>173</v>
      </c>
      <c r="E164" s="3">
        <v>176.87</v>
      </c>
    </row>
    <row r="165" spans="1:5" x14ac:dyDescent="0.35">
      <c r="A165" s="2" t="s">
        <v>106</v>
      </c>
      <c r="B165" s="2">
        <v>75458</v>
      </c>
      <c r="C165" s="2" t="s">
        <v>31</v>
      </c>
      <c r="D165" s="2" t="s">
        <v>174</v>
      </c>
      <c r="E165" s="3">
        <v>88.43</v>
      </c>
    </row>
    <row r="166" spans="1:5" x14ac:dyDescent="0.35">
      <c r="A166" s="2" t="s">
        <v>106</v>
      </c>
      <c r="B166" s="2">
        <v>75456</v>
      </c>
      <c r="C166" s="2" t="s">
        <v>31</v>
      </c>
      <c r="D166" s="2" t="s">
        <v>175</v>
      </c>
      <c r="E166" s="3">
        <v>33.15</v>
      </c>
    </row>
    <row r="167" spans="1:5" x14ac:dyDescent="0.35">
      <c r="A167" s="2" t="s">
        <v>106</v>
      </c>
      <c r="B167" s="2">
        <v>75455</v>
      </c>
      <c r="C167" s="2" t="s">
        <v>31</v>
      </c>
      <c r="D167" s="2" t="s">
        <v>176</v>
      </c>
      <c r="E167" s="3">
        <v>160.29</v>
      </c>
    </row>
    <row r="168" spans="1:5" x14ac:dyDescent="0.35">
      <c r="A168" s="2" t="s">
        <v>106</v>
      </c>
      <c r="B168" s="2">
        <v>75454</v>
      </c>
      <c r="C168" s="2" t="s">
        <v>31</v>
      </c>
      <c r="D168" s="2" t="s">
        <v>177</v>
      </c>
      <c r="E168" s="3">
        <v>150.34</v>
      </c>
    </row>
    <row r="169" spans="1:5" x14ac:dyDescent="0.35">
      <c r="A169" s="2" t="s">
        <v>106</v>
      </c>
      <c r="B169" s="2">
        <v>75453</v>
      </c>
      <c r="C169" s="2" t="s">
        <v>31</v>
      </c>
      <c r="D169" s="2" t="s">
        <v>178</v>
      </c>
      <c r="E169" s="3">
        <v>187.93</v>
      </c>
    </row>
    <row r="170" spans="1:5" x14ac:dyDescent="0.35">
      <c r="A170" s="2" t="s">
        <v>106</v>
      </c>
      <c r="B170" s="2">
        <v>75452</v>
      </c>
      <c r="C170" s="2" t="s">
        <v>31</v>
      </c>
      <c r="D170" s="2" t="s">
        <v>179</v>
      </c>
      <c r="E170" s="3">
        <v>85.11</v>
      </c>
    </row>
    <row r="171" spans="1:5" x14ac:dyDescent="0.35">
      <c r="A171" s="2" t="s">
        <v>106</v>
      </c>
      <c r="B171" s="2">
        <v>75451</v>
      </c>
      <c r="C171" s="2" t="s">
        <v>31</v>
      </c>
      <c r="D171" s="2" t="s">
        <v>180</v>
      </c>
      <c r="E171" s="3">
        <v>47.53</v>
      </c>
    </row>
    <row r="172" spans="1:5" x14ac:dyDescent="0.35">
      <c r="A172" s="2" t="s">
        <v>106</v>
      </c>
      <c r="B172" s="2">
        <v>75449</v>
      </c>
      <c r="C172" s="2" t="s">
        <v>31</v>
      </c>
      <c r="D172" s="2" t="s">
        <v>181</v>
      </c>
      <c r="E172" s="3">
        <v>22.1</v>
      </c>
    </row>
    <row r="173" spans="1:5" x14ac:dyDescent="0.35">
      <c r="A173" s="2" t="s">
        <v>106</v>
      </c>
      <c r="B173" s="2">
        <v>75448</v>
      </c>
      <c r="C173" s="2" t="s">
        <v>31</v>
      </c>
      <c r="D173" s="2" t="s">
        <v>182</v>
      </c>
      <c r="E173" s="3">
        <v>16.57</v>
      </c>
    </row>
    <row r="174" spans="1:5" x14ac:dyDescent="0.35">
      <c r="A174" s="2" t="s">
        <v>106</v>
      </c>
      <c r="B174" s="2">
        <v>75447</v>
      </c>
      <c r="C174" s="2" t="s">
        <v>31</v>
      </c>
      <c r="D174" s="2" t="s">
        <v>183</v>
      </c>
      <c r="E174" s="3">
        <v>141.49</v>
      </c>
    </row>
    <row r="175" spans="1:5" x14ac:dyDescent="0.35">
      <c r="A175" s="2" t="s">
        <v>106</v>
      </c>
      <c r="B175" s="2">
        <v>75446</v>
      </c>
      <c r="C175" s="2" t="s">
        <v>31</v>
      </c>
      <c r="D175" s="2" t="s">
        <v>184</v>
      </c>
      <c r="E175" s="3">
        <v>122.71</v>
      </c>
    </row>
    <row r="176" spans="1:5" x14ac:dyDescent="0.35">
      <c r="A176" s="2" t="s">
        <v>106</v>
      </c>
      <c r="B176" s="2">
        <v>75445</v>
      </c>
      <c r="C176" s="2" t="s">
        <v>31</v>
      </c>
      <c r="D176" s="2" t="s">
        <v>185</v>
      </c>
      <c r="E176" s="3">
        <v>70.739999999999995</v>
      </c>
    </row>
    <row r="177" spans="1:5" x14ac:dyDescent="0.35">
      <c r="A177" s="2" t="s">
        <v>106</v>
      </c>
      <c r="B177" s="2">
        <v>75444</v>
      </c>
      <c r="C177" s="2" t="s">
        <v>31</v>
      </c>
      <c r="D177" s="2" t="s">
        <v>186</v>
      </c>
      <c r="E177" s="3">
        <v>43.1</v>
      </c>
    </row>
    <row r="178" spans="1:5" x14ac:dyDescent="0.35">
      <c r="A178" s="2" t="s">
        <v>106</v>
      </c>
      <c r="B178" s="2">
        <v>75443</v>
      </c>
      <c r="C178" s="2" t="s">
        <v>31</v>
      </c>
      <c r="D178" s="2" t="s">
        <v>187</v>
      </c>
      <c r="E178" s="3">
        <v>18.78</v>
      </c>
    </row>
    <row r="179" spans="1:5" x14ac:dyDescent="0.35">
      <c r="A179" s="2" t="s">
        <v>106</v>
      </c>
      <c r="B179" s="2">
        <v>75442</v>
      </c>
      <c r="C179" s="2" t="s">
        <v>31</v>
      </c>
      <c r="D179" s="2" t="s">
        <v>188</v>
      </c>
      <c r="E179" s="3">
        <v>309.52999999999997</v>
      </c>
    </row>
    <row r="180" spans="1:5" x14ac:dyDescent="0.35">
      <c r="A180" s="2" t="s">
        <v>106</v>
      </c>
      <c r="B180" s="2">
        <v>75441</v>
      </c>
      <c r="C180" s="2" t="s">
        <v>31</v>
      </c>
      <c r="D180" s="2" t="s">
        <v>189</v>
      </c>
      <c r="E180" s="3">
        <v>75.17</v>
      </c>
    </row>
    <row r="181" spans="1:5" x14ac:dyDescent="0.35">
      <c r="A181" s="2" t="s">
        <v>106</v>
      </c>
      <c r="B181" s="2">
        <v>75440</v>
      </c>
      <c r="C181" s="2" t="s">
        <v>31</v>
      </c>
      <c r="D181" s="2" t="s">
        <v>190</v>
      </c>
      <c r="E181" s="3">
        <v>61.9</v>
      </c>
    </row>
    <row r="182" spans="1:5" x14ac:dyDescent="0.35">
      <c r="A182" s="2" t="s">
        <v>106</v>
      </c>
      <c r="B182" s="2">
        <v>75439</v>
      </c>
      <c r="C182" s="2" t="s">
        <v>31</v>
      </c>
      <c r="D182" s="2" t="s">
        <v>191</v>
      </c>
      <c r="E182" s="3">
        <v>47.53</v>
      </c>
    </row>
    <row r="183" spans="1:5" x14ac:dyDescent="0.35">
      <c r="A183" s="2" t="s">
        <v>106</v>
      </c>
      <c r="B183" s="2">
        <v>75438</v>
      </c>
      <c r="C183" s="2" t="s">
        <v>31</v>
      </c>
      <c r="D183" s="2" t="s">
        <v>192</v>
      </c>
      <c r="E183" s="3">
        <v>37.58</v>
      </c>
    </row>
    <row r="184" spans="1:5" x14ac:dyDescent="0.35">
      <c r="A184" s="2" t="s">
        <v>106</v>
      </c>
      <c r="B184" s="2">
        <v>75437</v>
      </c>
      <c r="C184" s="2" t="s">
        <v>31</v>
      </c>
      <c r="D184" s="2" t="s">
        <v>193</v>
      </c>
      <c r="E184" s="3">
        <v>28.73</v>
      </c>
    </row>
    <row r="185" spans="1:5" x14ac:dyDescent="0.35">
      <c r="A185" s="2" t="s">
        <v>106</v>
      </c>
      <c r="B185" s="2">
        <v>75436</v>
      </c>
      <c r="C185" s="2" t="s">
        <v>31</v>
      </c>
      <c r="D185" s="2" t="s">
        <v>194</v>
      </c>
      <c r="E185" s="3">
        <v>11.04</v>
      </c>
    </row>
    <row r="186" spans="1:5" x14ac:dyDescent="0.35">
      <c r="A186" s="2" t="s">
        <v>106</v>
      </c>
      <c r="B186" s="2">
        <v>75435</v>
      </c>
      <c r="C186" s="2" t="s">
        <v>31</v>
      </c>
      <c r="D186" s="2" t="s">
        <v>195</v>
      </c>
      <c r="E186" s="3">
        <v>137.07</v>
      </c>
    </row>
    <row r="187" spans="1:5" x14ac:dyDescent="0.35">
      <c r="A187" s="2" t="s">
        <v>106</v>
      </c>
      <c r="B187" s="2">
        <v>75434</v>
      </c>
      <c r="C187" s="2" t="s">
        <v>31</v>
      </c>
      <c r="D187" s="2" t="s">
        <v>196</v>
      </c>
      <c r="E187" s="3">
        <v>99.49</v>
      </c>
    </row>
    <row r="188" spans="1:5" x14ac:dyDescent="0.35">
      <c r="A188" s="2" t="s">
        <v>106</v>
      </c>
      <c r="B188" s="2">
        <v>75433</v>
      </c>
      <c r="C188" s="2" t="s">
        <v>31</v>
      </c>
      <c r="D188" s="2" t="s">
        <v>197</v>
      </c>
      <c r="E188" s="3">
        <v>61.9</v>
      </c>
    </row>
    <row r="189" spans="1:5" x14ac:dyDescent="0.35">
      <c r="A189" s="2" t="s">
        <v>106</v>
      </c>
      <c r="B189" s="2">
        <v>75432</v>
      </c>
      <c r="C189" s="2" t="s">
        <v>31</v>
      </c>
      <c r="D189" s="2" t="s">
        <v>198</v>
      </c>
      <c r="E189" s="3">
        <v>71.849999999999994</v>
      </c>
    </row>
    <row r="190" spans="1:5" x14ac:dyDescent="0.35">
      <c r="A190" s="2" t="s">
        <v>106</v>
      </c>
      <c r="B190" s="2">
        <v>75431</v>
      </c>
      <c r="C190" s="2" t="s">
        <v>31</v>
      </c>
      <c r="D190" s="2" t="s">
        <v>199</v>
      </c>
      <c r="E190" s="3">
        <v>44.21</v>
      </c>
    </row>
    <row r="191" spans="1:5" x14ac:dyDescent="0.35">
      <c r="A191" s="2" t="s">
        <v>106</v>
      </c>
      <c r="B191" s="2">
        <v>75430</v>
      </c>
      <c r="C191" s="2" t="s">
        <v>31</v>
      </c>
      <c r="D191" s="2" t="s">
        <v>200</v>
      </c>
      <c r="E191" s="3">
        <v>143.71</v>
      </c>
    </row>
    <row r="192" spans="1:5" x14ac:dyDescent="0.35">
      <c r="A192" s="2" t="s">
        <v>106</v>
      </c>
      <c r="B192" s="2">
        <v>75429</v>
      </c>
      <c r="C192" s="2" t="s">
        <v>31</v>
      </c>
      <c r="D192" s="2" t="s">
        <v>201</v>
      </c>
      <c r="E192" s="3">
        <v>110.54</v>
      </c>
    </row>
    <row r="193" spans="1:5" x14ac:dyDescent="0.35">
      <c r="A193" s="2" t="s">
        <v>106</v>
      </c>
      <c r="B193" s="2">
        <v>75428</v>
      </c>
      <c r="C193" s="2" t="s">
        <v>31</v>
      </c>
      <c r="D193" s="2" t="s">
        <v>202</v>
      </c>
      <c r="E193" s="3">
        <v>154.76</v>
      </c>
    </row>
    <row r="194" spans="1:5" x14ac:dyDescent="0.35">
      <c r="A194" s="2" t="s">
        <v>106</v>
      </c>
      <c r="B194" s="2">
        <v>75427</v>
      </c>
      <c r="C194" s="2" t="s">
        <v>31</v>
      </c>
      <c r="D194" s="2" t="s">
        <v>203</v>
      </c>
      <c r="E194" s="3">
        <v>187.93</v>
      </c>
    </row>
    <row r="195" spans="1:5" x14ac:dyDescent="0.35">
      <c r="A195" s="2" t="s">
        <v>106</v>
      </c>
      <c r="B195" s="2">
        <v>75426</v>
      </c>
      <c r="C195" s="2" t="s">
        <v>31</v>
      </c>
      <c r="D195" s="2" t="s">
        <v>204</v>
      </c>
      <c r="E195" s="3">
        <v>121.6</v>
      </c>
    </row>
    <row r="196" spans="1:5" x14ac:dyDescent="0.35">
      <c r="A196" s="2" t="s">
        <v>106</v>
      </c>
      <c r="B196" s="2">
        <v>75425</v>
      </c>
      <c r="C196" s="2" t="s">
        <v>31</v>
      </c>
      <c r="D196" s="2" t="s">
        <v>205</v>
      </c>
      <c r="E196" s="3">
        <v>99.49</v>
      </c>
    </row>
    <row r="197" spans="1:5" x14ac:dyDescent="0.35">
      <c r="A197" s="2" t="s">
        <v>106</v>
      </c>
      <c r="B197" s="2">
        <v>75424</v>
      </c>
      <c r="C197" s="2" t="s">
        <v>31</v>
      </c>
      <c r="D197" s="2" t="s">
        <v>206</v>
      </c>
      <c r="E197" s="3">
        <v>66.319999999999993</v>
      </c>
    </row>
    <row r="198" spans="1:5" x14ac:dyDescent="0.35">
      <c r="A198" s="2" t="s">
        <v>106</v>
      </c>
      <c r="B198" s="2">
        <v>75423</v>
      </c>
      <c r="C198" s="2" t="s">
        <v>31</v>
      </c>
      <c r="D198" s="2" t="s">
        <v>207</v>
      </c>
      <c r="E198" s="3">
        <v>110.54</v>
      </c>
    </row>
    <row r="199" spans="1:5" x14ac:dyDescent="0.35">
      <c r="A199" s="2" t="s">
        <v>106</v>
      </c>
      <c r="B199" s="2">
        <v>75422</v>
      </c>
      <c r="C199" s="2" t="s">
        <v>31</v>
      </c>
      <c r="D199" s="2" t="s">
        <v>208</v>
      </c>
      <c r="E199" s="3">
        <v>88.43</v>
      </c>
    </row>
    <row r="200" spans="1:5" x14ac:dyDescent="0.35">
      <c r="A200" s="2" t="s">
        <v>106</v>
      </c>
      <c r="B200" s="2">
        <v>75421</v>
      </c>
      <c r="C200" s="2" t="s">
        <v>31</v>
      </c>
      <c r="D200" s="2" t="s">
        <v>209</v>
      </c>
      <c r="E200" s="3">
        <v>88.43</v>
      </c>
    </row>
    <row r="201" spans="1:5" x14ac:dyDescent="0.35">
      <c r="A201" s="2" t="s">
        <v>106</v>
      </c>
      <c r="B201" s="2">
        <v>75420</v>
      </c>
      <c r="C201" s="2" t="s">
        <v>31</v>
      </c>
      <c r="D201" s="2" t="s">
        <v>210</v>
      </c>
      <c r="E201" s="3">
        <v>55.26</v>
      </c>
    </row>
    <row r="202" spans="1:5" x14ac:dyDescent="0.35">
      <c r="A202" s="2" t="s">
        <v>106</v>
      </c>
      <c r="B202" s="2">
        <v>75419</v>
      </c>
      <c r="C202" s="2" t="s">
        <v>31</v>
      </c>
      <c r="D202" s="2" t="s">
        <v>211</v>
      </c>
      <c r="E202" s="3">
        <v>1216.05</v>
      </c>
    </row>
    <row r="203" spans="1:5" x14ac:dyDescent="0.35">
      <c r="A203" s="2" t="s">
        <v>106</v>
      </c>
      <c r="B203" s="2">
        <v>75418</v>
      </c>
      <c r="C203" s="2" t="s">
        <v>31</v>
      </c>
      <c r="D203" s="2" t="s">
        <v>212</v>
      </c>
      <c r="E203" s="3">
        <v>38.68</v>
      </c>
    </row>
    <row r="204" spans="1:5" x14ac:dyDescent="0.35">
      <c r="A204" s="2" t="s">
        <v>106</v>
      </c>
      <c r="B204" s="2">
        <v>75417</v>
      </c>
      <c r="C204" s="2" t="s">
        <v>31</v>
      </c>
      <c r="D204" s="2" t="s">
        <v>213</v>
      </c>
      <c r="E204" s="3">
        <v>182.4</v>
      </c>
    </row>
    <row r="205" spans="1:5" x14ac:dyDescent="0.35">
      <c r="A205" s="2" t="s">
        <v>106</v>
      </c>
      <c r="B205" s="2">
        <v>75416</v>
      </c>
      <c r="C205" s="2" t="s">
        <v>31</v>
      </c>
      <c r="D205" s="2" t="s">
        <v>214</v>
      </c>
      <c r="E205" s="3">
        <v>100.59</v>
      </c>
    </row>
    <row r="206" spans="1:5" x14ac:dyDescent="0.35">
      <c r="A206" s="2" t="s">
        <v>106</v>
      </c>
      <c r="B206" s="2">
        <v>75415</v>
      </c>
      <c r="C206" s="2" t="s">
        <v>31</v>
      </c>
      <c r="D206" s="2" t="s">
        <v>215</v>
      </c>
      <c r="E206" s="3">
        <v>88.43</v>
      </c>
    </row>
    <row r="207" spans="1:5" x14ac:dyDescent="0.35">
      <c r="A207" s="2" t="s">
        <v>106</v>
      </c>
      <c r="B207" s="2">
        <v>75414</v>
      </c>
      <c r="C207" s="2" t="s">
        <v>31</v>
      </c>
      <c r="D207" s="2" t="s">
        <v>216</v>
      </c>
      <c r="E207" s="3">
        <v>44.21</v>
      </c>
    </row>
    <row r="208" spans="1:5" x14ac:dyDescent="0.35">
      <c r="A208" s="2" t="s">
        <v>106</v>
      </c>
      <c r="B208" s="2">
        <v>75413</v>
      </c>
      <c r="C208" s="2" t="s">
        <v>31</v>
      </c>
      <c r="D208" s="2" t="s">
        <v>217</v>
      </c>
      <c r="E208" s="3">
        <v>137.07</v>
      </c>
    </row>
    <row r="209" spans="1:5" x14ac:dyDescent="0.35">
      <c r="A209" s="2" t="s">
        <v>106</v>
      </c>
      <c r="B209" s="2">
        <v>75412</v>
      </c>
      <c r="C209" s="2" t="s">
        <v>31</v>
      </c>
      <c r="D209" s="2" t="s">
        <v>218</v>
      </c>
      <c r="E209" s="3">
        <v>22.1</v>
      </c>
    </row>
    <row r="210" spans="1:5" x14ac:dyDescent="0.35">
      <c r="A210" s="2" t="s">
        <v>106</v>
      </c>
      <c r="B210" s="2">
        <v>75411</v>
      </c>
      <c r="C210" s="2" t="s">
        <v>31</v>
      </c>
      <c r="D210" s="2" t="s">
        <v>219</v>
      </c>
      <c r="E210" s="3">
        <v>13.26</v>
      </c>
    </row>
    <row r="211" spans="1:5" x14ac:dyDescent="0.35">
      <c r="A211" s="2" t="s">
        <v>106</v>
      </c>
      <c r="B211" s="2">
        <v>75410</v>
      </c>
      <c r="C211" s="2" t="s">
        <v>31</v>
      </c>
      <c r="D211" s="2" t="s">
        <v>220</v>
      </c>
      <c r="E211" s="3">
        <v>26.52</v>
      </c>
    </row>
    <row r="212" spans="1:5" x14ac:dyDescent="0.35">
      <c r="A212" s="2" t="s">
        <v>106</v>
      </c>
      <c r="B212" s="2">
        <v>75409</v>
      </c>
      <c r="C212" s="2" t="s">
        <v>31</v>
      </c>
      <c r="D212" s="2" t="s">
        <v>221</v>
      </c>
      <c r="E212" s="3">
        <v>353.75</v>
      </c>
    </row>
    <row r="213" spans="1:5" x14ac:dyDescent="0.35">
      <c r="A213" s="2" t="s">
        <v>106</v>
      </c>
      <c r="B213" s="2">
        <v>75408</v>
      </c>
      <c r="C213" s="2" t="s">
        <v>31</v>
      </c>
      <c r="D213" s="2" t="s">
        <v>222</v>
      </c>
      <c r="E213" s="3">
        <v>70.739999999999995</v>
      </c>
    </row>
    <row r="214" spans="1:5" x14ac:dyDescent="0.35">
      <c r="A214" s="2" t="s">
        <v>106</v>
      </c>
      <c r="B214" s="2">
        <v>75407</v>
      </c>
      <c r="C214" s="2" t="s">
        <v>31</v>
      </c>
      <c r="D214" s="2" t="s">
        <v>223</v>
      </c>
      <c r="E214" s="3">
        <v>61.9</v>
      </c>
    </row>
    <row r="215" spans="1:5" x14ac:dyDescent="0.35">
      <c r="A215" s="2" t="s">
        <v>106</v>
      </c>
      <c r="B215" s="2">
        <v>75406</v>
      </c>
      <c r="C215" s="2" t="s">
        <v>31</v>
      </c>
      <c r="D215" s="2" t="s">
        <v>224</v>
      </c>
      <c r="E215" s="3">
        <v>88.43</v>
      </c>
    </row>
    <row r="216" spans="1:5" x14ac:dyDescent="0.35">
      <c r="A216" s="2" t="s">
        <v>106</v>
      </c>
      <c r="B216" s="2">
        <v>75405</v>
      </c>
      <c r="C216" s="2" t="s">
        <v>31</v>
      </c>
      <c r="D216" s="2" t="s">
        <v>225</v>
      </c>
      <c r="E216" s="3">
        <v>77.37</v>
      </c>
    </row>
    <row r="217" spans="1:5" x14ac:dyDescent="0.35">
      <c r="A217" s="2" t="s">
        <v>106</v>
      </c>
      <c r="B217" s="2">
        <v>75404</v>
      </c>
      <c r="C217" s="2" t="s">
        <v>31</v>
      </c>
      <c r="D217" s="2" t="s">
        <v>226</v>
      </c>
      <c r="E217" s="3">
        <v>55.26</v>
      </c>
    </row>
    <row r="218" spans="1:5" x14ac:dyDescent="0.35">
      <c r="A218" s="2" t="s">
        <v>106</v>
      </c>
      <c r="B218" s="2">
        <v>853778</v>
      </c>
      <c r="C218" s="2" t="s">
        <v>56</v>
      </c>
      <c r="D218" s="2" t="s">
        <v>227</v>
      </c>
      <c r="E218" s="3">
        <v>11.04</v>
      </c>
    </row>
    <row r="219" spans="1:5" x14ac:dyDescent="0.35">
      <c r="A219" s="2" t="s">
        <v>106</v>
      </c>
      <c r="B219" s="2">
        <v>5005236</v>
      </c>
      <c r="C219" s="2" t="s">
        <v>56</v>
      </c>
      <c r="D219" s="2" t="s">
        <v>228</v>
      </c>
      <c r="E219" s="3">
        <v>11.04</v>
      </c>
    </row>
    <row r="220" spans="1:5" x14ac:dyDescent="0.35">
      <c r="A220" s="2" t="s">
        <v>106</v>
      </c>
      <c r="B220" s="2">
        <v>42705</v>
      </c>
      <c r="C220" s="2" t="s">
        <v>56</v>
      </c>
      <c r="D220" s="2" t="s">
        <v>229</v>
      </c>
      <c r="E220" s="3">
        <v>93.96</v>
      </c>
    </row>
    <row r="221" spans="1:5" x14ac:dyDescent="0.35">
      <c r="A221" s="2" t="s">
        <v>106</v>
      </c>
      <c r="B221" s="2">
        <v>42704</v>
      </c>
      <c r="C221" s="2" t="s">
        <v>56</v>
      </c>
      <c r="D221" s="2" t="s">
        <v>230</v>
      </c>
      <c r="E221" s="3">
        <v>141.49</v>
      </c>
    </row>
    <row r="222" spans="1:5" x14ac:dyDescent="0.35">
      <c r="A222" s="2" t="s">
        <v>106</v>
      </c>
      <c r="B222" s="2">
        <v>42703</v>
      </c>
      <c r="C222" s="2" t="s">
        <v>56</v>
      </c>
      <c r="D222" s="2" t="s">
        <v>231</v>
      </c>
      <c r="E222" s="3">
        <v>93.96</v>
      </c>
    </row>
    <row r="223" spans="1:5" x14ac:dyDescent="0.35">
      <c r="A223" s="2" t="s">
        <v>106</v>
      </c>
      <c r="B223" s="2">
        <v>42702</v>
      </c>
      <c r="C223" s="2" t="s">
        <v>56</v>
      </c>
      <c r="D223" s="2" t="s">
        <v>232</v>
      </c>
      <c r="E223" s="3">
        <v>37.58</v>
      </c>
    </row>
    <row r="224" spans="1:5" x14ac:dyDescent="0.35">
      <c r="A224" s="2" t="s">
        <v>106</v>
      </c>
      <c r="B224" s="2">
        <v>42701</v>
      </c>
      <c r="C224" s="2" t="s">
        <v>56</v>
      </c>
      <c r="D224" s="2" t="s">
        <v>233</v>
      </c>
      <c r="E224" s="3">
        <v>82.9</v>
      </c>
    </row>
    <row r="225" spans="1:5" x14ac:dyDescent="0.35">
      <c r="A225" s="2" t="s">
        <v>106</v>
      </c>
      <c r="B225" s="2">
        <v>42700</v>
      </c>
      <c r="C225" s="2" t="s">
        <v>56</v>
      </c>
      <c r="D225" s="2" t="s">
        <v>234</v>
      </c>
      <c r="E225" s="3">
        <v>56.37</v>
      </c>
    </row>
    <row r="226" spans="1:5" x14ac:dyDescent="0.35">
      <c r="A226" s="2" t="s">
        <v>106</v>
      </c>
      <c r="B226" s="2">
        <v>42699</v>
      </c>
      <c r="C226" s="2" t="s">
        <v>56</v>
      </c>
      <c r="D226" s="2" t="s">
        <v>235</v>
      </c>
      <c r="E226" s="3">
        <v>55.26</v>
      </c>
    </row>
    <row r="227" spans="1:5" x14ac:dyDescent="0.35">
      <c r="A227" s="2" t="s">
        <v>106</v>
      </c>
      <c r="B227" s="2">
        <v>42698</v>
      </c>
      <c r="C227" s="2" t="s">
        <v>56</v>
      </c>
      <c r="D227" s="2" t="s">
        <v>236</v>
      </c>
      <c r="E227" s="3">
        <v>25.42</v>
      </c>
    </row>
    <row r="228" spans="1:5" x14ac:dyDescent="0.35">
      <c r="A228" s="2" t="s">
        <v>106</v>
      </c>
      <c r="B228" s="2">
        <v>42697</v>
      </c>
      <c r="C228" s="2" t="s">
        <v>56</v>
      </c>
      <c r="D228" s="2" t="s">
        <v>237</v>
      </c>
      <c r="E228" s="3">
        <v>47.53</v>
      </c>
    </row>
    <row r="229" spans="1:5" x14ac:dyDescent="0.35">
      <c r="A229" s="2" t="s">
        <v>106</v>
      </c>
      <c r="B229" s="2">
        <v>42696</v>
      </c>
      <c r="C229" s="2" t="s">
        <v>56</v>
      </c>
      <c r="D229" s="2" t="s">
        <v>238</v>
      </c>
      <c r="E229" s="3">
        <v>28.73</v>
      </c>
    </row>
    <row r="230" spans="1:5" x14ac:dyDescent="0.35">
      <c r="A230" s="2" t="s">
        <v>106</v>
      </c>
      <c r="B230" s="2">
        <v>42695</v>
      </c>
      <c r="C230" s="2" t="s">
        <v>56</v>
      </c>
      <c r="D230" s="2" t="s">
        <v>239</v>
      </c>
      <c r="E230" s="3">
        <v>28.73</v>
      </c>
    </row>
    <row r="231" spans="1:5" x14ac:dyDescent="0.35">
      <c r="A231" s="2" t="s">
        <v>106</v>
      </c>
      <c r="B231" s="2">
        <v>42694</v>
      </c>
      <c r="C231" s="2" t="s">
        <v>56</v>
      </c>
      <c r="D231" s="2" t="s">
        <v>240</v>
      </c>
      <c r="E231" s="3">
        <v>14.36</v>
      </c>
    </row>
    <row r="232" spans="1:5" x14ac:dyDescent="0.35">
      <c r="A232" s="2" t="s">
        <v>106</v>
      </c>
      <c r="B232" s="2">
        <v>42693</v>
      </c>
      <c r="C232" s="2" t="s">
        <v>56</v>
      </c>
      <c r="D232" s="2" t="s">
        <v>241</v>
      </c>
      <c r="E232" s="3">
        <v>28.73</v>
      </c>
    </row>
    <row r="233" spans="1:5" x14ac:dyDescent="0.35">
      <c r="A233" s="2" t="s">
        <v>106</v>
      </c>
      <c r="B233" s="2">
        <v>42692</v>
      </c>
      <c r="C233" s="2" t="s">
        <v>56</v>
      </c>
      <c r="D233" s="2" t="s">
        <v>242</v>
      </c>
      <c r="E233" s="3">
        <v>9.94</v>
      </c>
    </row>
    <row r="234" spans="1:5" x14ac:dyDescent="0.35">
      <c r="A234" s="2" t="s">
        <v>106</v>
      </c>
      <c r="B234" s="2">
        <v>42691</v>
      </c>
      <c r="C234" s="2" t="s">
        <v>56</v>
      </c>
      <c r="D234" s="2" t="s">
        <v>243</v>
      </c>
      <c r="E234" s="3">
        <v>170.24</v>
      </c>
    </row>
    <row r="235" spans="1:5" x14ac:dyDescent="0.35">
      <c r="A235" s="2" t="s">
        <v>106</v>
      </c>
      <c r="B235" s="2">
        <v>42690</v>
      </c>
      <c r="C235" s="2" t="s">
        <v>56</v>
      </c>
      <c r="D235" s="2" t="s">
        <v>244</v>
      </c>
      <c r="E235" s="3">
        <v>9.94</v>
      </c>
    </row>
    <row r="236" spans="1:5" x14ac:dyDescent="0.35">
      <c r="A236" s="2" t="s">
        <v>106</v>
      </c>
      <c r="B236" s="2">
        <v>42689</v>
      </c>
      <c r="C236" s="2" t="s">
        <v>56</v>
      </c>
      <c r="D236" s="2" t="s">
        <v>245</v>
      </c>
      <c r="E236" s="3">
        <v>85.11</v>
      </c>
    </row>
    <row r="237" spans="1:5" x14ac:dyDescent="0.35">
      <c r="A237" s="2" t="s">
        <v>106</v>
      </c>
      <c r="B237" s="2">
        <v>42688</v>
      </c>
      <c r="C237" s="2" t="s">
        <v>56</v>
      </c>
      <c r="D237" s="2" t="s">
        <v>246</v>
      </c>
      <c r="E237" s="3">
        <v>75.17</v>
      </c>
    </row>
    <row r="238" spans="1:5" x14ac:dyDescent="0.35">
      <c r="A238" s="2" t="s">
        <v>106</v>
      </c>
      <c r="B238" s="2">
        <v>42687</v>
      </c>
      <c r="C238" s="2" t="s">
        <v>56</v>
      </c>
      <c r="D238" s="2" t="s">
        <v>247</v>
      </c>
      <c r="E238" s="3">
        <v>66.319999999999993</v>
      </c>
    </row>
    <row r="239" spans="1:5" x14ac:dyDescent="0.35">
      <c r="A239" s="2" t="s">
        <v>106</v>
      </c>
      <c r="B239" s="2">
        <v>42686</v>
      </c>
      <c r="C239" s="2" t="s">
        <v>56</v>
      </c>
      <c r="D239" s="2" t="s">
        <v>248</v>
      </c>
      <c r="E239" s="3">
        <v>56.37</v>
      </c>
    </row>
    <row r="240" spans="1:5" x14ac:dyDescent="0.35">
      <c r="A240" s="2" t="s">
        <v>106</v>
      </c>
      <c r="B240" s="2">
        <v>42685</v>
      </c>
      <c r="C240" s="2" t="s">
        <v>56</v>
      </c>
      <c r="D240" s="2" t="s">
        <v>249</v>
      </c>
      <c r="E240" s="3">
        <v>47.53</v>
      </c>
    </row>
    <row r="241" spans="1:5" x14ac:dyDescent="0.35">
      <c r="A241" s="2" t="s">
        <v>106</v>
      </c>
      <c r="B241" s="2">
        <v>42684</v>
      </c>
      <c r="C241" s="2" t="s">
        <v>56</v>
      </c>
      <c r="D241" s="2" t="s">
        <v>250</v>
      </c>
      <c r="E241" s="3">
        <v>37.58</v>
      </c>
    </row>
    <row r="242" spans="1:5" x14ac:dyDescent="0.35">
      <c r="A242" s="2" t="s">
        <v>106</v>
      </c>
      <c r="B242" s="2">
        <v>42682</v>
      </c>
      <c r="C242" s="2" t="s">
        <v>56</v>
      </c>
      <c r="D242" s="2" t="s">
        <v>251</v>
      </c>
      <c r="E242" s="3">
        <v>24.31</v>
      </c>
    </row>
    <row r="243" spans="1:5" x14ac:dyDescent="0.35">
      <c r="A243" s="2" t="s">
        <v>106</v>
      </c>
      <c r="B243" s="2">
        <v>42681</v>
      </c>
      <c r="C243" s="2" t="s">
        <v>56</v>
      </c>
      <c r="D243" s="2" t="s">
        <v>252</v>
      </c>
      <c r="E243" s="3">
        <v>9.94</v>
      </c>
    </row>
    <row r="244" spans="1:5" x14ac:dyDescent="0.35">
      <c r="A244" s="2" t="s">
        <v>106</v>
      </c>
      <c r="B244" s="2">
        <v>42680</v>
      </c>
      <c r="C244" s="2" t="s">
        <v>56</v>
      </c>
      <c r="D244" s="2" t="s">
        <v>253</v>
      </c>
      <c r="E244" s="3">
        <v>18.78</v>
      </c>
    </row>
    <row r="245" spans="1:5" x14ac:dyDescent="0.35">
      <c r="A245" s="2" t="s">
        <v>106</v>
      </c>
      <c r="B245" s="2">
        <v>42679</v>
      </c>
      <c r="C245" s="2" t="s">
        <v>56</v>
      </c>
      <c r="D245" s="2" t="s">
        <v>254</v>
      </c>
      <c r="E245" s="3">
        <v>24.31</v>
      </c>
    </row>
    <row r="246" spans="1:5" x14ac:dyDescent="0.35">
      <c r="A246" s="2" t="s">
        <v>106</v>
      </c>
      <c r="B246" s="2">
        <v>42678</v>
      </c>
      <c r="C246" s="2" t="s">
        <v>56</v>
      </c>
      <c r="D246" s="2" t="s">
        <v>255</v>
      </c>
      <c r="E246" s="3">
        <v>18.78</v>
      </c>
    </row>
    <row r="247" spans="1:5" x14ac:dyDescent="0.35">
      <c r="A247" s="2" t="s">
        <v>106</v>
      </c>
      <c r="B247" s="2">
        <v>42677</v>
      </c>
      <c r="C247" s="2" t="s">
        <v>56</v>
      </c>
      <c r="D247" s="2" t="s">
        <v>256</v>
      </c>
      <c r="E247" s="3">
        <v>28.73</v>
      </c>
    </row>
    <row r="248" spans="1:5" x14ac:dyDescent="0.35">
      <c r="A248" s="2" t="s">
        <v>106</v>
      </c>
      <c r="B248" s="2">
        <v>42676</v>
      </c>
      <c r="C248" s="2" t="s">
        <v>56</v>
      </c>
      <c r="D248" s="2" t="s">
        <v>257</v>
      </c>
      <c r="E248" s="3">
        <v>28.73</v>
      </c>
    </row>
    <row r="249" spans="1:5" x14ac:dyDescent="0.35">
      <c r="A249" s="2" t="s">
        <v>106</v>
      </c>
      <c r="B249" s="2">
        <v>42675</v>
      </c>
      <c r="C249" s="2" t="s">
        <v>56</v>
      </c>
      <c r="D249" s="2" t="s">
        <v>258</v>
      </c>
      <c r="E249" s="3">
        <v>9.94</v>
      </c>
    </row>
    <row r="250" spans="1:5" x14ac:dyDescent="0.35">
      <c r="A250" s="2" t="s">
        <v>106</v>
      </c>
      <c r="B250" s="2">
        <v>42674</v>
      </c>
      <c r="C250" s="2" t="s">
        <v>56</v>
      </c>
      <c r="D250" s="2" t="s">
        <v>259</v>
      </c>
      <c r="E250" s="3">
        <v>110.54</v>
      </c>
    </row>
    <row r="251" spans="1:5" x14ac:dyDescent="0.35">
      <c r="A251" s="2" t="s">
        <v>106</v>
      </c>
      <c r="B251" s="2">
        <v>42673</v>
      </c>
      <c r="C251" s="2" t="s">
        <v>56</v>
      </c>
      <c r="D251" s="2" t="s">
        <v>260</v>
      </c>
      <c r="E251" s="3">
        <v>143.71</v>
      </c>
    </row>
    <row r="252" spans="1:5" x14ac:dyDescent="0.35">
      <c r="A252" s="2" t="s">
        <v>106</v>
      </c>
      <c r="B252" s="2">
        <v>42672</v>
      </c>
      <c r="C252" s="2" t="s">
        <v>56</v>
      </c>
      <c r="D252" s="2" t="s">
        <v>261</v>
      </c>
      <c r="E252" s="3">
        <v>33.15</v>
      </c>
    </row>
    <row r="253" spans="1:5" x14ac:dyDescent="0.35">
      <c r="A253" s="2" t="s">
        <v>106</v>
      </c>
      <c r="B253" s="2">
        <v>42671</v>
      </c>
      <c r="C253" s="2" t="s">
        <v>56</v>
      </c>
      <c r="D253" s="2" t="s">
        <v>262</v>
      </c>
      <c r="E253" s="3">
        <v>99.47</v>
      </c>
    </row>
    <row r="254" spans="1:5" x14ac:dyDescent="0.35">
      <c r="A254" s="2" t="s">
        <v>106</v>
      </c>
      <c r="B254" s="2">
        <v>42669</v>
      </c>
      <c r="C254" s="2" t="s">
        <v>56</v>
      </c>
      <c r="D254" s="2" t="s">
        <v>263</v>
      </c>
      <c r="E254" s="3">
        <v>110.54</v>
      </c>
    </row>
    <row r="255" spans="1:5" x14ac:dyDescent="0.35">
      <c r="A255" s="2" t="s">
        <v>106</v>
      </c>
      <c r="B255" s="2">
        <v>42668</v>
      </c>
      <c r="C255" s="2" t="s">
        <v>56</v>
      </c>
      <c r="D255" s="2" t="s">
        <v>264</v>
      </c>
      <c r="E255" s="3">
        <v>29.84</v>
      </c>
    </row>
    <row r="256" spans="1:5" x14ac:dyDescent="0.35">
      <c r="A256" s="2" t="s">
        <v>106</v>
      </c>
      <c r="B256" s="2">
        <v>42666</v>
      </c>
      <c r="C256" s="2" t="s">
        <v>56</v>
      </c>
      <c r="D256" s="2" t="s">
        <v>265</v>
      </c>
      <c r="E256" s="3">
        <v>26.52</v>
      </c>
    </row>
    <row r="257" spans="1:5" x14ac:dyDescent="0.35">
      <c r="A257" s="2" t="s">
        <v>106</v>
      </c>
      <c r="B257" s="2">
        <v>42665</v>
      </c>
      <c r="C257" s="2" t="s">
        <v>56</v>
      </c>
      <c r="D257" s="2" t="s">
        <v>266</v>
      </c>
      <c r="E257" s="3">
        <v>8.83</v>
      </c>
    </row>
    <row r="258" spans="1:5" x14ac:dyDescent="0.35">
      <c r="A258" s="2" t="s">
        <v>106</v>
      </c>
      <c r="B258" s="2">
        <v>42664</v>
      </c>
      <c r="C258" s="2" t="s">
        <v>56</v>
      </c>
      <c r="D258" s="2" t="s">
        <v>267</v>
      </c>
      <c r="E258" s="3">
        <v>65.209999999999994</v>
      </c>
    </row>
    <row r="259" spans="1:5" x14ac:dyDescent="0.35">
      <c r="A259" s="2" t="s">
        <v>106</v>
      </c>
      <c r="B259" s="2">
        <v>42663</v>
      </c>
      <c r="C259" s="2" t="s">
        <v>56</v>
      </c>
      <c r="D259" s="2" t="s">
        <v>268</v>
      </c>
      <c r="E259" s="3">
        <v>51.95</v>
      </c>
    </row>
    <row r="260" spans="1:5" x14ac:dyDescent="0.35">
      <c r="A260" s="2" t="s">
        <v>106</v>
      </c>
      <c r="B260" s="2">
        <v>42662</v>
      </c>
      <c r="C260" s="2" t="s">
        <v>56</v>
      </c>
      <c r="D260" s="2" t="s">
        <v>269</v>
      </c>
      <c r="E260" s="3">
        <v>49.74</v>
      </c>
    </row>
    <row r="261" spans="1:5" x14ac:dyDescent="0.35">
      <c r="A261" s="2" t="s">
        <v>106</v>
      </c>
      <c r="B261" s="2">
        <v>42661</v>
      </c>
      <c r="C261" s="2" t="s">
        <v>56</v>
      </c>
      <c r="D261" s="2" t="s">
        <v>270</v>
      </c>
      <c r="E261" s="3">
        <v>35.36</v>
      </c>
    </row>
    <row r="262" spans="1:5" x14ac:dyDescent="0.35">
      <c r="A262" s="2" t="s">
        <v>106</v>
      </c>
      <c r="B262" s="2">
        <v>42659</v>
      </c>
      <c r="C262" s="2" t="s">
        <v>56</v>
      </c>
      <c r="D262" s="2" t="s">
        <v>271</v>
      </c>
      <c r="E262" s="3">
        <v>17.68</v>
      </c>
    </row>
    <row r="263" spans="1:5" x14ac:dyDescent="0.35">
      <c r="A263" s="2" t="s">
        <v>106</v>
      </c>
      <c r="B263" s="2">
        <v>42658</v>
      </c>
      <c r="C263" s="2" t="s">
        <v>56</v>
      </c>
      <c r="D263" s="2" t="s">
        <v>272</v>
      </c>
      <c r="E263" s="3">
        <v>11.04</v>
      </c>
    </row>
    <row r="264" spans="1:5" x14ac:dyDescent="0.35">
      <c r="A264" s="2" t="s">
        <v>106</v>
      </c>
      <c r="B264" s="2">
        <v>42654</v>
      </c>
      <c r="C264" s="2" t="s">
        <v>56</v>
      </c>
      <c r="D264" s="2" t="s">
        <v>273</v>
      </c>
      <c r="E264" s="3">
        <v>77.37</v>
      </c>
    </row>
    <row r="265" spans="1:5" x14ac:dyDescent="0.35">
      <c r="A265" s="2" t="s">
        <v>106</v>
      </c>
      <c r="B265" s="2">
        <v>42653</v>
      </c>
      <c r="C265" s="2" t="s">
        <v>56</v>
      </c>
      <c r="D265" s="2" t="s">
        <v>274</v>
      </c>
      <c r="E265" s="3">
        <v>55.26</v>
      </c>
    </row>
    <row r="266" spans="1:5" x14ac:dyDescent="0.35">
      <c r="A266" s="2" t="s">
        <v>106</v>
      </c>
      <c r="B266" s="2">
        <v>42652</v>
      </c>
      <c r="C266" s="2" t="s">
        <v>56</v>
      </c>
      <c r="D266" s="2" t="s">
        <v>275</v>
      </c>
      <c r="E266" s="3">
        <v>77.37</v>
      </c>
    </row>
    <row r="267" spans="1:5" x14ac:dyDescent="0.35">
      <c r="A267" s="2" t="s">
        <v>106</v>
      </c>
      <c r="B267" s="2">
        <v>42651</v>
      </c>
      <c r="C267" s="2" t="s">
        <v>56</v>
      </c>
      <c r="D267" s="2" t="s">
        <v>276</v>
      </c>
      <c r="E267" s="3">
        <v>66.319999999999993</v>
      </c>
    </row>
    <row r="268" spans="1:5" x14ac:dyDescent="0.35">
      <c r="A268" s="2" t="s">
        <v>106</v>
      </c>
      <c r="B268" s="2">
        <v>42650</v>
      </c>
      <c r="C268" s="2" t="s">
        <v>56</v>
      </c>
      <c r="D268" s="2" t="s">
        <v>277</v>
      </c>
      <c r="E268" s="3">
        <v>35.36</v>
      </c>
    </row>
    <row r="269" spans="1:5" x14ac:dyDescent="0.35">
      <c r="A269" s="2" t="s">
        <v>106</v>
      </c>
      <c r="B269" s="2">
        <v>42649</v>
      </c>
      <c r="C269" s="2" t="s">
        <v>56</v>
      </c>
      <c r="D269" s="2" t="s">
        <v>278</v>
      </c>
      <c r="E269" s="3">
        <v>26.52</v>
      </c>
    </row>
    <row r="270" spans="1:5" x14ac:dyDescent="0.35">
      <c r="A270" s="2" t="s">
        <v>106</v>
      </c>
      <c r="B270" s="2">
        <v>42648</v>
      </c>
      <c r="C270" s="2" t="s">
        <v>56</v>
      </c>
      <c r="D270" s="2" t="s">
        <v>279</v>
      </c>
      <c r="E270" s="3">
        <v>33.15</v>
      </c>
    </row>
    <row r="271" spans="1:5" x14ac:dyDescent="0.35">
      <c r="A271" s="2" t="s">
        <v>106</v>
      </c>
      <c r="B271" s="2">
        <v>42647</v>
      </c>
      <c r="C271" s="2" t="s">
        <v>56</v>
      </c>
      <c r="D271" s="2" t="s">
        <v>280</v>
      </c>
      <c r="E271" s="3">
        <v>22.1</v>
      </c>
    </row>
    <row r="272" spans="1:5" x14ac:dyDescent="0.35">
      <c r="A272" s="2" t="s">
        <v>106</v>
      </c>
      <c r="B272" s="2">
        <v>42646</v>
      </c>
      <c r="C272" s="2" t="s">
        <v>56</v>
      </c>
      <c r="D272" s="2" t="s">
        <v>281</v>
      </c>
      <c r="E272" s="3">
        <v>22.1</v>
      </c>
    </row>
    <row r="273" spans="1:5" x14ac:dyDescent="0.35">
      <c r="A273" s="2" t="s">
        <v>106</v>
      </c>
      <c r="B273" s="2">
        <v>42644</v>
      </c>
      <c r="C273" s="2" t="s">
        <v>56</v>
      </c>
      <c r="D273" s="2" t="s">
        <v>282</v>
      </c>
      <c r="E273" s="3">
        <v>17.68</v>
      </c>
    </row>
    <row r="274" spans="1:5" x14ac:dyDescent="0.35">
      <c r="A274" s="2" t="s">
        <v>106</v>
      </c>
      <c r="B274" s="2">
        <v>42642</v>
      </c>
      <c r="C274" s="2" t="s">
        <v>56</v>
      </c>
      <c r="D274" s="2" t="s">
        <v>283</v>
      </c>
      <c r="E274" s="3">
        <v>16.57</v>
      </c>
    </row>
    <row r="275" spans="1:5" x14ac:dyDescent="0.35">
      <c r="A275" s="2" t="s">
        <v>106</v>
      </c>
      <c r="B275" s="2">
        <v>42641</v>
      </c>
      <c r="C275" s="2" t="s">
        <v>56</v>
      </c>
      <c r="D275" s="2" t="s">
        <v>284</v>
      </c>
      <c r="E275" s="3">
        <v>16.57</v>
      </c>
    </row>
    <row r="276" spans="1:5" x14ac:dyDescent="0.35">
      <c r="A276" s="2" t="s">
        <v>106</v>
      </c>
      <c r="B276" s="2">
        <v>42638</v>
      </c>
      <c r="C276" s="2" t="s">
        <v>56</v>
      </c>
      <c r="D276" s="2" t="s">
        <v>285</v>
      </c>
      <c r="E276" s="3">
        <v>132.65</v>
      </c>
    </row>
    <row r="277" spans="1:5" x14ac:dyDescent="0.35">
      <c r="A277" s="2" t="s">
        <v>106</v>
      </c>
      <c r="B277" s="2">
        <v>42635</v>
      </c>
      <c r="C277" s="2" t="s">
        <v>56</v>
      </c>
      <c r="D277" s="2" t="s">
        <v>286</v>
      </c>
      <c r="E277" s="3">
        <v>11.04</v>
      </c>
    </row>
    <row r="278" spans="1:5" x14ac:dyDescent="0.35">
      <c r="A278" s="2" t="s">
        <v>287</v>
      </c>
      <c r="B278" s="2">
        <v>42695</v>
      </c>
      <c r="C278" s="2" t="s">
        <v>56</v>
      </c>
      <c r="D278" s="2" t="s">
        <v>288</v>
      </c>
      <c r="E278" s="3">
        <v>29.27</v>
      </c>
    </row>
    <row r="279" spans="1:5" x14ac:dyDescent="0.35">
      <c r="A279" s="2" t="s">
        <v>287</v>
      </c>
      <c r="B279" s="2">
        <v>60505</v>
      </c>
      <c r="C279" s="2" t="s">
        <v>6</v>
      </c>
      <c r="D279" s="2" t="s">
        <v>289</v>
      </c>
      <c r="E279" s="3">
        <v>70.25</v>
      </c>
    </row>
    <row r="280" spans="1:5" x14ac:dyDescent="0.35">
      <c r="A280" s="2" t="s">
        <v>287</v>
      </c>
      <c r="B280" s="2">
        <v>60500</v>
      </c>
      <c r="C280" s="2" t="s">
        <v>6</v>
      </c>
      <c r="D280" s="2" t="s">
        <v>290</v>
      </c>
      <c r="E280" s="3">
        <v>29.27</v>
      </c>
    </row>
    <row r="281" spans="1:5" x14ac:dyDescent="0.35">
      <c r="A281" s="2" t="s">
        <v>287</v>
      </c>
      <c r="B281" s="2">
        <v>75437</v>
      </c>
      <c r="C281" s="2" t="s">
        <v>31</v>
      </c>
      <c r="D281" s="2" t="s">
        <v>291</v>
      </c>
      <c r="E281" s="3">
        <v>29.27</v>
      </c>
    </row>
    <row r="282" spans="1:5" x14ac:dyDescent="0.35">
      <c r="A282" s="2" t="s">
        <v>287</v>
      </c>
      <c r="B282" s="2">
        <v>42689</v>
      </c>
      <c r="C282" s="2" t="s">
        <v>56</v>
      </c>
      <c r="D282" s="2" t="s">
        <v>292</v>
      </c>
      <c r="E282" s="3">
        <v>93.68</v>
      </c>
    </row>
    <row r="283" spans="1:5" x14ac:dyDescent="0.35">
      <c r="A283" s="2" t="s">
        <v>287</v>
      </c>
      <c r="B283" s="2">
        <v>42673</v>
      </c>
      <c r="C283" s="2" t="s">
        <v>56</v>
      </c>
      <c r="D283" s="2" t="s">
        <v>293</v>
      </c>
      <c r="E283" s="3">
        <v>117.1</v>
      </c>
    </row>
    <row r="284" spans="1:5" x14ac:dyDescent="0.35">
      <c r="A284" s="2" t="s">
        <v>287</v>
      </c>
      <c r="B284" s="2">
        <v>42688</v>
      </c>
      <c r="C284" s="2" t="s">
        <v>56</v>
      </c>
      <c r="D284" s="2" t="s">
        <v>294</v>
      </c>
      <c r="E284" s="3">
        <v>81.97</v>
      </c>
    </row>
    <row r="285" spans="1:5" x14ac:dyDescent="0.35">
      <c r="A285" s="2" t="s">
        <v>287</v>
      </c>
      <c r="B285" s="2">
        <v>42699</v>
      </c>
      <c r="C285" s="2" t="s">
        <v>56</v>
      </c>
      <c r="D285" s="2" t="s">
        <v>295</v>
      </c>
      <c r="E285" s="3">
        <v>52.69</v>
      </c>
    </row>
    <row r="286" spans="1:5" x14ac:dyDescent="0.35">
      <c r="A286" s="2" t="s">
        <v>287</v>
      </c>
      <c r="B286" s="2">
        <v>42680</v>
      </c>
      <c r="C286" s="2" t="s">
        <v>56</v>
      </c>
      <c r="D286" s="2" t="s">
        <v>296</v>
      </c>
      <c r="E286" s="3">
        <v>21.07</v>
      </c>
    </row>
    <row r="287" spans="1:5" x14ac:dyDescent="0.35">
      <c r="A287" s="2" t="s">
        <v>287</v>
      </c>
      <c r="B287" s="2">
        <v>42686</v>
      </c>
      <c r="C287" s="2" t="s">
        <v>56</v>
      </c>
      <c r="D287" s="2" t="s">
        <v>297</v>
      </c>
      <c r="E287" s="3">
        <v>64.400000000000006</v>
      </c>
    </row>
    <row r="288" spans="1:5" x14ac:dyDescent="0.35">
      <c r="A288" s="2" t="s">
        <v>287</v>
      </c>
      <c r="B288" s="2">
        <v>42685</v>
      </c>
      <c r="C288" s="2" t="s">
        <v>56</v>
      </c>
      <c r="D288" s="2" t="s">
        <v>298</v>
      </c>
      <c r="E288" s="3">
        <v>52.69</v>
      </c>
    </row>
    <row r="289" spans="1:5" x14ac:dyDescent="0.35">
      <c r="A289" s="2" t="s">
        <v>287</v>
      </c>
      <c r="B289" s="2">
        <v>42696</v>
      </c>
      <c r="C289" s="2" t="s">
        <v>56</v>
      </c>
      <c r="D289" s="2" t="s">
        <v>299</v>
      </c>
      <c r="E289" s="3">
        <v>29.27</v>
      </c>
    </row>
    <row r="290" spans="1:5" x14ac:dyDescent="0.35">
      <c r="A290" s="2" t="s">
        <v>287</v>
      </c>
      <c r="B290" s="2">
        <v>60490</v>
      </c>
      <c r="C290" s="2" t="s">
        <v>6</v>
      </c>
      <c r="D290" s="2" t="s">
        <v>300</v>
      </c>
      <c r="E290" s="3">
        <v>23.41</v>
      </c>
    </row>
    <row r="291" spans="1:5" x14ac:dyDescent="0.35">
      <c r="A291" s="2" t="s">
        <v>287</v>
      </c>
      <c r="B291" s="2">
        <v>60504</v>
      </c>
      <c r="C291" s="2" t="s">
        <v>6</v>
      </c>
      <c r="D291" s="2" t="s">
        <v>301</v>
      </c>
      <c r="E291" s="3">
        <v>100.7</v>
      </c>
    </row>
    <row r="292" spans="1:5" x14ac:dyDescent="0.35">
      <c r="A292" s="2" t="s">
        <v>287</v>
      </c>
      <c r="B292" s="2">
        <v>60503</v>
      </c>
      <c r="C292" s="2" t="s">
        <v>6</v>
      </c>
      <c r="D292" s="2" t="s">
        <v>302</v>
      </c>
      <c r="E292" s="3">
        <v>57.37</v>
      </c>
    </row>
    <row r="293" spans="1:5" x14ac:dyDescent="0.35">
      <c r="A293" s="2" t="s">
        <v>287</v>
      </c>
      <c r="B293" s="2">
        <v>60491</v>
      </c>
      <c r="C293" s="2" t="s">
        <v>6</v>
      </c>
      <c r="D293" s="2" t="s">
        <v>303</v>
      </c>
      <c r="E293" s="3">
        <v>21.07</v>
      </c>
    </row>
    <row r="294" spans="1:5" x14ac:dyDescent="0.35">
      <c r="A294" s="2" t="s">
        <v>287</v>
      </c>
      <c r="B294" s="2">
        <v>60454</v>
      </c>
      <c r="C294" s="2" t="s">
        <v>6</v>
      </c>
      <c r="D294" s="2" t="s">
        <v>304</v>
      </c>
      <c r="E294" s="3">
        <v>26.92</v>
      </c>
    </row>
    <row r="295" spans="1:5" x14ac:dyDescent="0.35">
      <c r="A295" s="2" t="s">
        <v>287</v>
      </c>
      <c r="B295" s="2">
        <v>60502</v>
      </c>
      <c r="C295" s="2" t="s">
        <v>6</v>
      </c>
      <c r="D295" s="2" t="s">
        <v>305</v>
      </c>
      <c r="E295" s="3">
        <v>90.16</v>
      </c>
    </row>
    <row r="296" spans="1:5" x14ac:dyDescent="0.35">
      <c r="A296" s="2" t="s">
        <v>287</v>
      </c>
      <c r="B296" s="2">
        <v>60487</v>
      </c>
      <c r="C296" s="2" t="s">
        <v>6</v>
      </c>
      <c r="D296" s="2" t="s">
        <v>306</v>
      </c>
      <c r="E296" s="3">
        <v>14.04</v>
      </c>
    </row>
    <row r="297" spans="1:5" x14ac:dyDescent="0.35">
      <c r="A297" s="2" t="s">
        <v>287</v>
      </c>
      <c r="B297" s="2">
        <v>75443</v>
      </c>
      <c r="C297" s="2" t="s">
        <v>31</v>
      </c>
      <c r="D297" s="2" t="s">
        <v>307</v>
      </c>
      <c r="E297" s="3">
        <v>21.07</v>
      </c>
    </row>
    <row r="298" spans="1:5" x14ac:dyDescent="0.35">
      <c r="A298" s="2" t="s">
        <v>287</v>
      </c>
      <c r="B298" s="2">
        <v>75449</v>
      </c>
      <c r="C298" s="2" t="s">
        <v>31</v>
      </c>
      <c r="D298" s="2" t="s">
        <v>308</v>
      </c>
      <c r="E298" s="3">
        <v>21.07</v>
      </c>
    </row>
    <row r="299" spans="1:5" x14ac:dyDescent="0.35">
      <c r="A299" s="2" t="s">
        <v>287</v>
      </c>
      <c r="B299" s="2">
        <v>75448</v>
      </c>
      <c r="C299" s="2" t="s">
        <v>31</v>
      </c>
      <c r="D299" s="2" t="s">
        <v>309</v>
      </c>
      <c r="E299" s="3">
        <v>14.04</v>
      </c>
    </row>
    <row r="300" spans="1:5" x14ac:dyDescent="0.35">
      <c r="A300" s="2" t="s">
        <v>310</v>
      </c>
      <c r="B300" s="2">
        <v>75455</v>
      </c>
      <c r="C300" s="2" t="s">
        <v>31</v>
      </c>
      <c r="D300" s="2" t="s">
        <v>311</v>
      </c>
      <c r="E300" s="3">
        <v>144.49</v>
      </c>
    </row>
    <row r="301" spans="1:5" x14ac:dyDescent="0.35">
      <c r="A301" s="2" t="s">
        <v>310</v>
      </c>
      <c r="B301" s="2">
        <v>75454</v>
      </c>
      <c r="C301" s="2" t="s">
        <v>31</v>
      </c>
      <c r="D301" s="2" t="s">
        <v>312</v>
      </c>
      <c r="E301" s="3">
        <v>135.99</v>
      </c>
    </row>
    <row r="302" spans="1:5" x14ac:dyDescent="0.35">
      <c r="A302" s="2" t="s">
        <v>310</v>
      </c>
      <c r="B302" s="2">
        <v>75453</v>
      </c>
      <c r="C302" s="2" t="s">
        <v>31</v>
      </c>
      <c r="D302" s="2" t="s">
        <v>313</v>
      </c>
      <c r="E302" s="3">
        <v>169.99</v>
      </c>
    </row>
    <row r="303" spans="1:5" x14ac:dyDescent="0.35">
      <c r="A303" s="2" t="s">
        <v>310</v>
      </c>
      <c r="B303" s="2">
        <v>75461</v>
      </c>
      <c r="C303" s="2" t="s">
        <v>31</v>
      </c>
      <c r="D303" s="2" t="s">
        <v>314</v>
      </c>
      <c r="E303" s="3">
        <v>99.99</v>
      </c>
    </row>
    <row r="304" spans="1:5" x14ac:dyDescent="0.35">
      <c r="A304" s="2" t="s">
        <v>310</v>
      </c>
      <c r="B304" s="2">
        <v>75459</v>
      </c>
      <c r="C304" s="2" t="s">
        <v>31</v>
      </c>
      <c r="D304" s="2" t="s">
        <v>173</v>
      </c>
      <c r="E304" s="3">
        <v>149.99</v>
      </c>
    </row>
    <row r="305" spans="1:5" x14ac:dyDescent="0.35">
      <c r="A305" s="2" t="s">
        <v>310</v>
      </c>
      <c r="B305" s="2">
        <v>75458</v>
      </c>
      <c r="C305" s="2" t="s">
        <v>31</v>
      </c>
      <c r="D305" s="2" t="s">
        <v>315</v>
      </c>
      <c r="E305" s="3">
        <v>69.989999999999995</v>
      </c>
    </row>
    <row r="306" spans="1:5" x14ac:dyDescent="0.35">
      <c r="A306" s="2" t="s">
        <v>310</v>
      </c>
      <c r="B306" s="2">
        <v>75456</v>
      </c>
      <c r="C306" s="2" t="s">
        <v>31</v>
      </c>
      <c r="D306" s="2" t="s">
        <v>316</v>
      </c>
      <c r="E306" s="3">
        <v>29.74</v>
      </c>
    </row>
    <row r="307" spans="1:5" x14ac:dyDescent="0.35">
      <c r="A307" s="2" t="s">
        <v>310</v>
      </c>
      <c r="B307" s="2">
        <v>75451</v>
      </c>
      <c r="C307" s="2" t="s">
        <v>31</v>
      </c>
      <c r="D307" s="2" t="s">
        <v>317</v>
      </c>
      <c r="E307" s="3">
        <v>42.49</v>
      </c>
    </row>
    <row r="308" spans="1:5" x14ac:dyDescent="0.35">
      <c r="A308" s="2" t="s">
        <v>310</v>
      </c>
      <c r="B308" s="2">
        <v>75442</v>
      </c>
      <c r="C308" s="2" t="s">
        <v>31</v>
      </c>
      <c r="D308" s="2" t="s">
        <v>318</v>
      </c>
      <c r="E308" s="3">
        <v>249.99</v>
      </c>
    </row>
    <row r="309" spans="1:5" x14ac:dyDescent="0.35">
      <c r="A309" s="2" t="s">
        <v>310</v>
      </c>
      <c r="B309" s="2">
        <v>30728</v>
      </c>
      <c r="C309" s="2" t="s">
        <v>31</v>
      </c>
      <c r="D309" s="2" t="s">
        <v>319</v>
      </c>
      <c r="E309" s="3">
        <v>3.19</v>
      </c>
    </row>
    <row r="310" spans="1:5" x14ac:dyDescent="0.35">
      <c r="A310" s="2" t="s">
        <v>310</v>
      </c>
      <c r="B310" s="2">
        <v>75446</v>
      </c>
      <c r="C310" s="2" t="s">
        <v>31</v>
      </c>
      <c r="D310" s="2" t="s">
        <v>320</v>
      </c>
      <c r="E310" s="3">
        <v>110.49</v>
      </c>
    </row>
    <row r="311" spans="1:5" x14ac:dyDescent="0.35">
      <c r="A311" s="2" t="s">
        <v>310</v>
      </c>
      <c r="B311" s="2">
        <v>75447</v>
      </c>
      <c r="C311" s="2" t="s">
        <v>31</v>
      </c>
      <c r="D311" s="2" t="s">
        <v>321</v>
      </c>
      <c r="E311" s="3">
        <v>127.49</v>
      </c>
    </row>
    <row r="312" spans="1:5" x14ac:dyDescent="0.35">
      <c r="A312" s="2" t="s">
        <v>310</v>
      </c>
      <c r="B312" s="2">
        <v>75445</v>
      </c>
      <c r="C312" s="2" t="s">
        <v>31</v>
      </c>
      <c r="D312" s="2" t="s">
        <v>185</v>
      </c>
      <c r="E312" s="3">
        <v>63.74</v>
      </c>
    </row>
    <row r="313" spans="1:5" x14ac:dyDescent="0.35">
      <c r="A313" s="2" t="s">
        <v>310</v>
      </c>
      <c r="B313" s="2">
        <v>75439</v>
      </c>
      <c r="C313" s="2" t="s">
        <v>31</v>
      </c>
      <c r="D313" s="2" t="s">
        <v>322</v>
      </c>
      <c r="E313" s="3">
        <v>39.99</v>
      </c>
    </row>
    <row r="314" spans="1:5" x14ac:dyDescent="0.35">
      <c r="A314" s="2" t="s">
        <v>310</v>
      </c>
      <c r="B314" s="2">
        <v>75444</v>
      </c>
      <c r="C314" s="2" t="s">
        <v>31</v>
      </c>
      <c r="D314" s="2" t="s">
        <v>323</v>
      </c>
      <c r="E314" s="3">
        <v>38.24</v>
      </c>
    </row>
    <row r="315" spans="1:5" x14ac:dyDescent="0.35">
      <c r="A315" s="2" t="s">
        <v>310</v>
      </c>
      <c r="B315" s="2">
        <v>75438</v>
      </c>
      <c r="C315" s="2" t="s">
        <v>31</v>
      </c>
      <c r="D315" s="2" t="s">
        <v>324</v>
      </c>
      <c r="E315" s="3">
        <v>31.99</v>
      </c>
    </row>
    <row r="316" spans="1:5" x14ac:dyDescent="0.35">
      <c r="A316" s="2" t="s">
        <v>310</v>
      </c>
      <c r="B316" s="2">
        <v>75449</v>
      </c>
      <c r="C316" s="2" t="s">
        <v>31</v>
      </c>
      <c r="D316" s="2" t="s">
        <v>181</v>
      </c>
      <c r="E316" s="3">
        <v>16.989999999999998</v>
      </c>
    </row>
    <row r="317" spans="1:5" x14ac:dyDescent="0.35">
      <c r="A317" s="2" t="s">
        <v>310</v>
      </c>
      <c r="B317" s="2">
        <v>75452</v>
      </c>
      <c r="C317" s="2" t="s">
        <v>31</v>
      </c>
      <c r="D317" s="2" t="s">
        <v>325</v>
      </c>
      <c r="E317" s="3">
        <v>62.99</v>
      </c>
    </row>
    <row r="318" spans="1:5" x14ac:dyDescent="0.35">
      <c r="A318" s="2" t="s">
        <v>310</v>
      </c>
      <c r="B318" s="2">
        <v>75441</v>
      </c>
      <c r="C318" s="2" t="s">
        <v>31</v>
      </c>
      <c r="D318" s="2" t="s">
        <v>189</v>
      </c>
      <c r="E318" s="3">
        <v>63.99</v>
      </c>
    </row>
    <row r="319" spans="1:5" x14ac:dyDescent="0.35">
      <c r="A319" s="2" t="s">
        <v>310</v>
      </c>
      <c r="B319" s="2">
        <v>75443</v>
      </c>
      <c r="C319" s="2" t="s">
        <v>31</v>
      </c>
      <c r="D319" s="2" t="s">
        <v>326</v>
      </c>
      <c r="E319" s="3">
        <v>16.989999999999998</v>
      </c>
    </row>
    <row r="320" spans="1:5" x14ac:dyDescent="0.35">
      <c r="A320" s="2" t="s">
        <v>310</v>
      </c>
      <c r="B320" s="2">
        <v>75440</v>
      </c>
      <c r="C320" s="2" t="s">
        <v>31</v>
      </c>
      <c r="D320" s="2" t="s">
        <v>190</v>
      </c>
      <c r="E320" s="3">
        <v>55.24</v>
      </c>
    </row>
    <row r="321" spans="1:5" x14ac:dyDescent="0.35">
      <c r="A321" s="2" t="s">
        <v>310</v>
      </c>
      <c r="B321" s="2">
        <v>75448</v>
      </c>
      <c r="C321" s="2" t="s">
        <v>31</v>
      </c>
      <c r="D321" s="2" t="s">
        <v>327</v>
      </c>
      <c r="E321" s="3">
        <v>12.74</v>
      </c>
    </row>
    <row r="322" spans="1:5" x14ac:dyDescent="0.35">
      <c r="A322" s="2" t="s">
        <v>310</v>
      </c>
      <c r="B322" s="2">
        <v>75436</v>
      </c>
      <c r="C322" s="2" t="s">
        <v>31</v>
      </c>
      <c r="D322" s="2" t="s">
        <v>328</v>
      </c>
      <c r="E322" s="3">
        <v>8.49</v>
      </c>
    </row>
    <row r="323" spans="1:5" x14ac:dyDescent="0.35">
      <c r="A323" s="2" t="s">
        <v>310</v>
      </c>
      <c r="B323" s="2">
        <v>75437</v>
      </c>
      <c r="C323" s="2" t="s">
        <v>31</v>
      </c>
      <c r="D323" s="2" t="s">
        <v>329</v>
      </c>
      <c r="E323" s="3">
        <v>25.49</v>
      </c>
    </row>
    <row r="324" spans="1:5" x14ac:dyDescent="0.35">
      <c r="A324" s="2" t="s">
        <v>310</v>
      </c>
      <c r="B324" s="2">
        <v>75430</v>
      </c>
      <c r="C324" s="2" t="s">
        <v>31</v>
      </c>
      <c r="D324" s="2" t="s">
        <v>330</v>
      </c>
      <c r="E324" s="3">
        <v>107.99</v>
      </c>
    </row>
    <row r="325" spans="1:5" x14ac:dyDescent="0.35">
      <c r="A325" s="2" t="s">
        <v>310</v>
      </c>
      <c r="B325" s="2">
        <v>75419</v>
      </c>
      <c r="C325" s="2" t="s">
        <v>31</v>
      </c>
      <c r="D325" s="2" t="s">
        <v>211</v>
      </c>
      <c r="E325" s="3">
        <v>999.99</v>
      </c>
    </row>
    <row r="326" spans="1:5" x14ac:dyDescent="0.35">
      <c r="A326" s="2" t="s">
        <v>310</v>
      </c>
      <c r="B326" s="2">
        <v>40771</v>
      </c>
      <c r="C326" s="2" t="s">
        <v>31</v>
      </c>
      <c r="D326" s="2" t="s">
        <v>331</v>
      </c>
      <c r="E326" s="3">
        <v>159.99</v>
      </c>
    </row>
    <row r="327" spans="1:5" x14ac:dyDescent="0.35">
      <c r="A327" s="2" t="s">
        <v>310</v>
      </c>
      <c r="B327" s="2">
        <v>75435</v>
      </c>
      <c r="C327" s="2" t="s">
        <v>31</v>
      </c>
      <c r="D327" s="2" t="s">
        <v>332</v>
      </c>
      <c r="E327" s="3">
        <v>127.49</v>
      </c>
    </row>
    <row r="328" spans="1:5" x14ac:dyDescent="0.35">
      <c r="A328" s="2" t="s">
        <v>310</v>
      </c>
      <c r="B328" s="2">
        <v>42698</v>
      </c>
      <c r="C328" s="2" t="s">
        <v>56</v>
      </c>
      <c r="D328" s="2" t="s">
        <v>333</v>
      </c>
      <c r="E328" s="3">
        <v>22.94</v>
      </c>
    </row>
    <row r="329" spans="1:5" x14ac:dyDescent="0.35">
      <c r="A329" s="2" t="s">
        <v>310</v>
      </c>
      <c r="B329" s="2">
        <v>42705</v>
      </c>
      <c r="C329" s="2" t="s">
        <v>56</v>
      </c>
      <c r="D329" s="2" t="s">
        <v>229</v>
      </c>
      <c r="E329" s="3">
        <v>84.99</v>
      </c>
    </row>
    <row r="330" spans="1:5" x14ac:dyDescent="0.35">
      <c r="A330" s="2" t="s">
        <v>310</v>
      </c>
      <c r="B330" s="2">
        <v>42704</v>
      </c>
      <c r="C330" s="2" t="s">
        <v>56</v>
      </c>
      <c r="D330" s="2" t="s">
        <v>230</v>
      </c>
      <c r="E330" s="3">
        <v>127.49</v>
      </c>
    </row>
    <row r="331" spans="1:5" x14ac:dyDescent="0.35">
      <c r="A331" s="2" t="s">
        <v>310</v>
      </c>
      <c r="B331" s="2">
        <v>42702</v>
      </c>
      <c r="C331" s="2" t="s">
        <v>56</v>
      </c>
      <c r="D331" s="2" t="s">
        <v>232</v>
      </c>
      <c r="E331" s="3">
        <v>33.99</v>
      </c>
    </row>
    <row r="332" spans="1:5" x14ac:dyDescent="0.35">
      <c r="A332" s="2" t="s">
        <v>310</v>
      </c>
      <c r="B332" s="2">
        <v>42703</v>
      </c>
      <c r="C332" s="2" t="s">
        <v>56</v>
      </c>
      <c r="D332" s="2" t="s">
        <v>231</v>
      </c>
      <c r="E332" s="3">
        <v>84.99</v>
      </c>
    </row>
    <row r="333" spans="1:5" x14ac:dyDescent="0.35">
      <c r="A333" s="2" t="s">
        <v>310</v>
      </c>
      <c r="B333" s="2">
        <v>42693</v>
      </c>
      <c r="C333" s="2" t="s">
        <v>56</v>
      </c>
      <c r="D333" s="2" t="s">
        <v>241</v>
      </c>
      <c r="E333" s="3">
        <v>25.49</v>
      </c>
    </row>
    <row r="334" spans="1:5" x14ac:dyDescent="0.35">
      <c r="A334" s="2" t="s">
        <v>310</v>
      </c>
      <c r="B334" s="2">
        <v>42700</v>
      </c>
      <c r="C334" s="2" t="s">
        <v>56</v>
      </c>
      <c r="D334" s="2" t="s">
        <v>234</v>
      </c>
      <c r="E334" s="3">
        <v>50.99</v>
      </c>
    </row>
    <row r="335" spans="1:5" x14ac:dyDescent="0.35">
      <c r="A335" s="2" t="s">
        <v>310</v>
      </c>
      <c r="B335" s="2">
        <v>42697</v>
      </c>
      <c r="C335" s="2" t="s">
        <v>56</v>
      </c>
      <c r="D335" s="2" t="s">
        <v>237</v>
      </c>
      <c r="E335" s="3">
        <v>42.49</v>
      </c>
    </row>
    <row r="336" spans="1:5" x14ac:dyDescent="0.35">
      <c r="A336" s="2" t="s">
        <v>310</v>
      </c>
      <c r="B336" s="2">
        <v>42694</v>
      </c>
      <c r="C336" s="2" t="s">
        <v>56</v>
      </c>
      <c r="D336" s="2" t="s">
        <v>240</v>
      </c>
      <c r="E336" s="3">
        <v>12.74</v>
      </c>
    </row>
    <row r="337" spans="1:5" x14ac:dyDescent="0.35">
      <c r="A337" s="2" t="s">
        <v>310</v>
      </c>
      <c r="B337" s="2">
        <v>42690</v>
      </c>
      <c r="C337" s="2" t="s">
        <v>56</v>
      </c>
      <c r="D337" s="2" t="s">
        <v>244</v>
      </c>
      <c r="E337" s="3">
        <v>8.49</v>
      </c>
    </row>
    <row r="338" spans="1:5" x14ac:dyDescent="0.35">
      <c r="A338" s="2" t="s">
        <v>310</v>
      </c>
      <c r="B338" s="2">
        <v>42676</v>
      </c>
      <c r="C338" s="2" t="s">
        <v>56</v>
      </c>
      <c r="D338" s="2" t="s">
        <v>257</v>
      </c>
      <c r="E338" s="3">
        <v>25.49</v>
      </c>
    </row>
    <row r="339" spans="1:5" x14ac:dyDescent="0.35">
      <c r="A339" s="2" t="s">
        <v>310</v>
      </c>
      <c r="B339" s="2">
        <v>42682</v>
      </c>
      <c r="C339" s="2" t="s">
        <v>56</v>
      </c>
      <c r="D339" s="2" t="s">
        <v>251</v>
      </c>
      <c r="E339" s="3">
        <v>21.24</v>
      </c>
    </row>
    <row r="340" spans="1:5" x14ac:dyDescent="0.35">
      <c r="A340" s="2" t="s">
        <v>310</v>
      </c>
      <c r="B340" s="2">
        <v>42699</v>
      </c>
      <c r="C340" s="2" t="s">
        <v>56</v>
      </c>
      <c r="D340" s="2" t="s">
        <v>235</v>
      </c>
      <c r="E340" s="3">
        <v>42.49</v>
      </c>
    </row>
    <row r="341" spans="1:5" x14ac:dyDescent="0.35">
      <c r="A341" s="2" t="s">
        <v>310</v>
      </c>
      <c r="B341" s="2">
        <v>42692</v>
      </c>
      <c r="C341" s="2" t="s">
        <v>56</v>
      </c>
      <c r="D341" s="2" t="s">
        <v>242</v>
      </c>
      <c r="E341" s="3">
        <v>8.49</v>
      </c>
    </row>
    <row r="342" spans="1:5" x14ac:dyDescent="0.35">
      <c r="A342" s="2" t="s">
        <v>310</v>
      </c>
      <c r="B342" s="2">
        <v>42689</v>
      </c>
      <c r="C342" s="2" t="s">
        <v>56</v>
      </c>
      <c r="D342" s="2" t="s">
        <v>245</v>
      </c>
      <c r="E342" s="3">
        <v>71.989999999999995</v>
      </c>
    </row>
    <row r="343" spans="1:5" x14ac:dyDescent="0.35">
      <c r="A343" s="2" t="s">
        <v>310</v>
      </c>
      <c r="B343" s="2">
        <v>42696</v>
      </c>
      <c r="C343" s="2" t="s">
        <v>56</v>
      </c>
      <c r="D343" s="2" t="s">
        <v>238</v>
      </c>
      <c r="E343" s="3">
        <v>25.49</v>
      </c>
    </row>
    <row r="344" spans="1:5" x14ac:dyDescent="0.35">
      <c r="A344" s="2" t="s">
        <v>310</v>
      </c>
      <c r="B344" s="2">
        <v>42695</v>
      </c>
      <c r="C344" s="2" t="s">
        <v>56</v>
      </c>
      <c r="D344" s="2" t="s">
        <v>239</v>
      </c>
      <c r="E344" s="3">
        <v>25.49</v>
      </c>
    </row>
    <row r="345" spans="1:5" x14ac:dyDescent="0.35">
      <c r="A345" s="2" t="s">
        <v>310</v>
      </c>
      <c r="B345" s="2">
        <v>42688</v>
      </c>
      <c r="C345" s="2" t="s">
        <v>56</v>
      </c>
      <c r="D345" s="2" t="s">
        <v>246</v>
      </c>
      <c r="E345" s="3">
        <v>55.99</v>
      </c>
    </row>
    <row r="346" spans="1:5" x14ac:dyDescent="0.35">
      <c r="A346" s="2" t="s">
        <v>310</v>
      </c>
      <c r="B346" s="2">
        <v>42687</v>
      </c>
      <c r="C346" s="2" t="s">
        <v>56</v>
      </c>
      <c r="D346" s="2" t="s">
        <v>334</v>
      </c>
      <c r="E346" s="3">
        <v>55.99</v>
      </c>
    </row>
    <row r="347" spans="1:5" x14ac:dyDescent="0.35">
      <c r="A347" s="2" t="s">
        <v>310</v>
      </c>
      <c r="B347" s="2">
        <v>42685</v>
      </c>
      <c r="C347" s="2" t="s">
        <v>56</v>
      </c>
      <c r="D347" s="2" t="s">
        <v>249</v>
      </c>
      <c r="E347" s="3">
        <v>42.49</v>
      </c>
    </row>
    <row r="348" spans="1:5" x14ac:dyDescent="0.35">
      <c r="A348" s="2" t="s">
        <v>310</v>
      </c>
      <c r="B348" s="2">
        <v>42686</v>
      </c>
      <c r="C348" s="2" t="s">
        <v>56</v>
      </c>
      <c r="D348" s="2" t="s">
        <v>248</v>
      </c>
      <c r="E348" s="3">
        <v>47.99</v>
      </c>
    </row>
    <row r="349" spans="1:5" x14ac:dyDescent="0.35">
      <c r="A349" s="2" t="s">
        <v>310</v>
      </c>
      <c r="B349" s="2">
        <v>42681</v>
      </c>
      <c r="C349" s="2" t="s">
        <v>56</v>
      </c>
      <c r="D349" s="2" t="s">
        <v>252</v>
      </c>
      <c r="E349" s="3">
        <v>8.49</v>
      </c>
    </row>
    <row r="350" spans="1:5" x14ac:dyDescent="0.35">
      <c r="A350" s="2" t="s">
        <v>310</v>
      </c>
      <c r="B350" s="2">
        <v>42684</v>
      </c>
      <c r="C350" s="2" t="s">
        <v>56</v>
      </c>
      <c r="D350" s="2" t="s">
        <v>250</v>
      </c>
      <c r="E350" s="3">
        <v>33.99</v>
      </c>
    </row>
    <row r="351" spans="1:5" x14ac:dyDescent="0.35">
      <c r="A351" s="2" t="s">
        <v>310</v>
      </c>
      <c r="B351" s="2">
        <v>42680</v>
      </c>
      <c r="C351" s="2" t="s">
        <v>56</v>
      </c>
      <c r="D351" s="2" t="s">
        <v>253</v>
      </c>
      <c r="E351" s="3">
        <v>16.989999999999998</v>
      </c>
    </row>
    <row r="352" spans="1:5" x14ac:dyDescent="0.35">
      <c r="A352" s="2" t="s">
        <v>310</v>
      </c>
      <c r="B352" s="2">
        <v>42675</v>
      </c>
      <c r="C352" s="2" t="s">
        <v>56</v>
      </c>
      <c r="D352" s="2" t="s">
        <v>258</v>
      </c>
      <c r="E352" s="3">
        <v>8.49</v>
      </c>
    </row>
    <row r="353" spans="1:5" x14ac:dyDescent="0.35">
      <c r="A353" s="2" t="s">
        <v>310</v>
      </c>
      <c r="B353" s="2">
        <v>42677</v>
      </c>
      <c r="C353" s="2" t="s">
        <v>56</v>
      </c>
      <c r="D353" s="2" t="s">
        <v>256</v>
      </c>
      <c r="E353" s="3">
        <v>25.49</v>
      </c>
    </row>
    <row r="354" spans="1:5" x14ac:dyDescent="0.35">
      <c r="A354" s="2" t="s">
        <v>310</v>
      </c>
      <c r="B354" s="2">
        <v>42679</v>
      </c>
      <c r="C354" s="2" t="s">
        <v>56</v>
      </c>
      <c r="D354" s="2" t="s">
        <v>254</v>
      </c>
      <c r="E354" s="3">
        <v>21.24</v>
      </c>
    </row>
    <row r="355" spans="1:5" x14ac:dyDescent="0.35">
      <c r="A355" s="2" t="s">
        <v>310</v>
      </c>
      <c r="B355" s="2">
        <v>42678</v>
      </c>
      <c r="C355" s="2" t="s">
        <v>56</v>
      </c>
      <c r="D355" s="2" t="s">
        <v>255</v>
      </c>
      <c r="E355" s="3">
        <v>16.989999999999998</v>
      </c>
    </row>
    <row r="356" spans="1:5" x14ac:dyDescent="0.35">
      <c r="A356" s="2" t="s">
        <v>310</v>
      </c>
      <c r="B356" s="2">
        <v>11386</v>
      </c>
      <c r="C356" s="2" t="s">
        <v>81</v>
      </c>
      <c r="D356" s="2" t="s">
        <v>335</v>
      </c>
      <c r="E356" s="3">
        <v>178.49</v>
      </c>
    </row>
    <row r="357" spans="1:5" x14ac:dyDescent="0.35">
      <c r="A357" s="2" t="s">
        <v>310</v>
      </c>
      <c r="B357" s="2">
        <v>11382</v>
      </c>
      <c r="C357" s="2" t="s">
        <v>81</v>
      </c>
      <c r="D357" s="2" t="s">
        <v>336</v>
      </c>
      <c r="E357" s="3">
        <v>110.49</v>
      </c>
    </row>
    <row r="358" spans="1:5" x14ac:dyDescent="0.35">
      <c r="A358" s="2" t="s">
        <v>310</v>
      </c>
      <c r="B358" s="2">
        <v>11383</v>
      </c>
      <c r="C358" s="2" t="s">
        <v>81</v>
      </c>
      <c r="D358" s="2" t="s">
        <v>337</v>
      </c>
      <c r="E358" s="3">
        <v>93.49</v>
      </c>
    </row>
    <row r="359" spans="1:5" x14ac:dyDescent="0.35">
      <c r="A359" s="2" t="s">
        <v>310</v>
      </c>
      <c r="B359" s="2">
        <v>11381</v>
      </c>
      <c r="C359" s="2" t="s">
        <v>81</v>
      </c>
      <c r="D359" s="2" t="s">
        <v>338</v>
      </c>
      <c r="E359" s="3">
        <v>118.99</v>
      </c>
    </row>
    <row r="360" spans="1:5" x14ac:dyDescent="0.35">
      <c r="A360" s="2" t="s">
        <v>310</v>
      </c>
      <c r="B360" s="2">
        <v>11380</v>
      </c>
      <c r="C360" s="2" t="s">
        <v>81</v>
      </c>
      <c r="D360" s="2" t="s">
        <v>339</v>
      </c>
      <c r="E360" s="3">
        <v>94.99</v>
      </c>
    </row>
    <row r="361" spans="1:5" x14ac:dyDescent="0.35">
      <c r="A361" s="2" t="s">
        <v>310</v>
      </c>
      <c r="B361" s="2">
        <v>11371</v>
      </c>
      <c r="C361" s="2" t="s">
        <v>81</v>
      </c>
      <c r="D361" s="2" t="s">
        <v>340</v>
      </c>
      <c r="E361" s="3">
        <v>249.99</v>
      </c>
    </row>
    <row r="362" spans="1:5" x14ac:dyDescent="0.35">
      <c r="A362" s="2" t="s">
        <v>310</v>
      </c>
      <c r="B362" s="2">
        <v>11370</v>
      </c>
      <c r="C362" s="2" t="s">
        <v>81</v>
      </c>
      <c r="D362" s="2" t="s">
        <v>341</v>
      </c>
      <c r="E362" s="3">
        <v>279.99</v>
      </c>
    </row>
    <row r="363" spans="1:5" x14ac:dyDescent="0.35">
      <c r="A363" s="2" t="s">
        <v>310</v>
      </c>
      <c r="B363" s="2">
        <v>10352</v>
      </c>
      <c r="C363" s="2" t="s">
        <v>81</v>
      </c>
      <c r="D363" s="2" t="s">
        <v>342</v>
      </c>
      <c r="E363" s="3">
        <v>199.99</v>
      </c>
    </row>
    <row r="364" spans="1:5" x14ac:dyDescent="0.35">
      <c r="A364" s="2" t="s">
        <v>310</v>
      </c>
      <c r="B364" s="2">
        <v>11384</v>
      </c>
      <c r="C364" s="2" t="s">
        <v>81</v>
      </c>
      <c r="D364" s="2" t="s">
        <v>343</v>
      </c>
      <c r="E364" s="3">
        <v>118.99</v>
      </c>
    </row>
    <row r="365" spans="1:5" x14ac:dyDescent="0.35">
      <c r="A365" s="2" t="s">
        <v>310</v>
      </c>
      <c r="B365" s="2">
        <v>11376</v>
      </c>
      <c r="C365" s="2" t="s">
        <v>81</v>
      </c>
      <c r="D365" s="2" t="s">
        <v>344</v>
      </c>
      <c r="E365" s="3">
        <v>94.99</v>
      </c>
    </row>
    <row r="366" spans="1:5" x14ac:dyDescent="0.35">
      <c r="A366" s="2" t="s">
        <v>310</v>
      </c>
      <c r="B366" s="2">
        <v>11375</v>
      </c>
      <c r="C366" s="2" t="s">
        <v>81</v>
      </c>
      <c r="D366" s="2" t="s">
        <v>345</v>
      </c>
      <c r="E366" s="3">
        <v>76.489999999999995</v>
      </c>
    </row>
    <row r="367" spans="1:5" x14ac:dyDescent="0.35">
      <c r="A367" s="2" t="s">
        <v>310</v>
      </c>
      <c r="B367" s="2">
        <v>11373</v>
      </c>
      <c r="C367" s="2" t="s">
        <v>81</v>
      </c>
      <c r="D367" s="2" t="s">
        <v>346</v>
      </c>
      <c r="E367" s="3">
        <v>59.99</v>
      </c>
    </row>
    <row r="368" spans="1:5" x14ac:dyDescent="0.35">
      <c r="A368" s="2" t="s">
        <v>310</v>
      </c>
      <c r="B368" s="2">
        <v>11372</v>
      </c>
      <c r="C368" s="2" t="s">
        <v>81</v>
      </c>
      <c r="D368" s="2" t="s">
        <v>347</v>
      </c>
      <c r="E368" s="3">
        <v>87.99</v>
      </c>
    </row>
    <row r="369" spans="1:5" x14ac:dyDescent="0.35">
      <c r="A369" s="2" t="s">
        <v>310</v>
      </c>
      <c r="B369" s="2">
        <v>10357</v>
      </c>
      <c r="C369" s="2" t="s">
        <v>81</v>
      </c>
      <c r="D369" s="2" t="s">
        <v>348</v>
      </c>
      <c r="E369" s="3">
        <v>149.99</v>
      </c>
    </row>
    <row r="370" spans="1:5" x14ac:dyDescent="0.35">
      <c r="A370" s="2" t="s">
        <v>310</v>
      </c>
      <c r="B370" s="2">
        <v>10358</v>
      </c>
      <c r="C370" s="2" t="s">
        <v>81</v>
      </c>
      <c r="D370" s="2" t="s">
        <v>349</v>
      </c>
      <c r="E370" s="3">
        <v>134.99</v>
      </c>
    </row>
    <row r="371" spans="1:5" x14ac:dyDescent="0.35">
      <c r="A371" s="2" t="s">
        <v>310</v>
      </c>
      <c r="B371" s="2">
        <v>10367</v>
      </c>
      <c r="C371" s="2" t="s">
        <v>81</v>
      </c>
      <c r="D371" s="2" t="s">
        <v>350</v>
      </c>
      <c r="E371" s="3">
        <v>101.99</v>
      </c>
    </row>
    <row r="372" spans="1:5" x14ac:dyDescent="0.35">
      <c r="A372" s="2" t="s">
        <v>310</v>
      </c>
      <c r="B372" s="2">
        <v>40814</v>
      </c>
      <c r="C372" s="2" t="s">
        <v>81</v>
      </c>
      <c r="D372" s="2" t="s">
        <v>351</v>
      </c>
      <c r="E372" s="3">
        <v>29.99</v>
      </c>
    </row>
    <row r="373" spans="1:5" x14ac:dyDescent="0.35">
      <c r="A373" s="2" t="s">
        <v>310</v>
      </c>
      <c r="B373" s="2">
        <v>40690</v>
      </c>
      <c r="C373" s="2" t="s">
        <v>81</v>
      </c>
      <c r="D373" s="2" t="s">
        <v>352</v>
      </c>
      <c r="E373" s="3">
        <v>34.99</v>
      </c>
    </row>
    <row r="374" spans="1:5" x14ac:dyDescent="0.35">
      <c r="A374" s="2" t="s">
        <v>310</v>
      </c>
      <c r="B374" s="2">
        <v>40744</v>
      </c>
      <c r="C374" s="2" t="s">
        <v>81</v>
      </c>
      <c r="D374" s="2" t="s">
        <v>353</v>
      </c>
      <c r="E374" s="3">
        <v>11.04</v>
      </c>
    </row>
    <row r="375" spans="1:5" x14ac:dyDescent="0.35">
      <c r="A375" s="2" t="s">
        <v>310</v>
      </c>
      <c r="B375" s="2">
        <v>40743</v>
      </c>
      <c r="C375" s="2" t="s">
        <v>81</v>
      </c>
      <c r="D375" s="2" t="s">
        <v>354</v>
      </c>
      <c r="E375" s="3">
        <v>33.99</v>
      </c>
    </row>
    <row r="376" spans="1:5" x14ac:dyDescent="0.35">
      <c r="A376" s="2" t="s">
        <v>310</v>
      </c>
      <c r="B376" s="2">
        <v>40721</v>
      </c>
      <c r="C376" s="2" t="s">
        <v>81</v>
      </c>
      <c r="D376" s="2" t="s">
        <v>355</v>
      </c>
      <c r="E376" s="3">
        <v>11.99</v>
      </c>
    </row>
    <row r="377" spans="1:5" x14ac:dyDescent="0.35">
      <c r="A377" s="2" t="s">
        <v>310</v>
      </c>
      <c r="B377" s="2">
        <v>40813</v>
      </c>
      <c r="C377" s="2" t="s">
        <v>81</v>
      </c>
      <c r="D377" s="2" t="s">
        <v>356</v>
      </c>
      <c r="E377" s="3">
        <v>25.49</v>
      </c>
    </row>
    <row r="378" spans="1:5" x14ac:dyDescent="0.35">
      <c r="A378" s="2" t="s">
        <v>310</v>
      </c>
      <c r="B378" s="2">
        <v>10335</v>
      </c>
      <c r="C378" s="2" t="s">
        <v>81</v>
      </c>
      <c r="D378" s="2" t="s">
        <v>357</v>
      </c>
      <c r="E378" s="3">
        <v>269.99</v>
      </c>
    </row>
    <row r="379" spans="1:5" x14ac:dyDescent="0.35">
      <c r="A379" s="2" t="s">
        <v>310</v>
      </c>
      <c r="B379" s="2">
        <v>40824</v>
      </c>
      <c r="C379" s="2" t="s">
        <v>81</v>
      </c>
      <c r="D379" s="2" t="s">
        <v>358</v>
      </c>
      <c r="E379" s="3">
        <v>29.74</v>
      </c>
    </row>
    <row r="380" spans="1:5" x14ac:dyDescent="0.35">
      <c r="A380" s="2" t="s">
        <v>310</v>
      </c>
      <c r="B380" s="2">
        <v>40821</v>
      </c>
      <c r="C380" s="2" t="s">
        <v>81</v>
      </c>
      <c r="D380" s="2" t="s">
        <v>359</v>
      </c>
      <c r="E380" s="3">
        <v>14.99</v>
      </c>
    </row>
    <row r="381" spans="1:5" x14ac:dyDescent="0.35">
      <c r="A381" s="2" t="s">
        <v>310</v>
      </c>
      <c r="B381" s="2">
        <v>10353</v>
      </c>
      <c r="C381" s="2" t="s">
        <v>81</v>
      </c>
      <c r="D381" s="2" t="s">
        <v>360</v>
      </c>
      <c r="E381" s="3">
        <v>67.989999999999995</v>
      </c>
    </row>
    <row r="382" spans="1:5" x14ac:dyDescent="0.35">
      <c r="A382" s="2" t="s">
        <v>310</v>
      </c>
      <c r="B382" s="2">
        <v>10359</v>
      </c>
      <c r="C382" s="2" t="s">
        <v>81</v>
      </c>
      <c r="D382" s="2" t="s">
        <v>361</v>
      </c>
      <c r="E382" s="3">
        <v>84.99</v>
      </c>
    </row>
    <row r="383" spans="1:5" x14ac:dyDescent="0.35">
      <c r="A383" s="2" t="s">
        <v>310</v>
      </c>
      <c r="B383" s="2">
        <v>60511</v>
      </c>
      <c r="C383" s="2" t="s">
        <v>6</v>
      </c>
      <c r="D383" s="2" t="s">
        <v>108</v>
      </c>
      <c r="E383" s="3">
        <v>76.489999999999995</v>
      </c>
    </row>
    <row r="384" spans="1:5" x14ac:dyDescent="0.35">
      <c r="A384" s="2" t="s">
        <v>310</v>
      </c>
      <c r="B384" s="2">
        <v>60506</v>
      </c>
      <c r="C384" s="2" t="s">
        <v>6</v>
      </c>
      <c r="D384" s="2" t="s">
        <v>112</v>
      </c>
      <c r="E384" s="3">
        <v>59.49</v>
      </c>
    </row>
    <row r="385" spans="1:5" x14ac:dyDescent="0.35">
      <c r="A385" s="2" t="s">
        <v>310</v>
      </c>
      <c r="B385" s="2">
        <v>60494</v>
      </c>
      <c r="C385" s="2" t="s">
        <v>6</v>
      </c>
      <c r="D385" s="2" t="s">
        <v>124</v>
      </c>
      <c r="E385" s="3">
        <v>101.99</v>
      </c>
    </row>
    <row r="386" spans="1:5" x14ac:dyDescent="0.35">
      <c r="A386" s="2" t="s">
        <v>310</v>
      </c>
      <c r="B386" s="2">
        <v>60480</v>
      </c>
      <c r="C386" s="2" t="s">
        <v>6</v>
      </c>
      <c r="D386" s="2" t="s">
        <v>138</v>
      </c>
      <c r="E386" s="3">
        <v>25.49</v>
      </c>
    </row>
    <row r="387" spans="1:5" x14ac:dyDescent="0.35">
      <c r="A387" s="2" t="s">
        <v>310</v>
      </c>
      <c r="B387" s="2">
        <v>60492</v>
      </c>
      <c r="C387" s="2" t="s">
        <v>6</v>
      </c>
      <c r="D387" s="2" t="s">
        <v>126</v>
      </c>
      <c r="E387" s="3">
        <v>25.49</v>
      </c>
    </row>
    <row r="388" spans="1:5" x14ac:dyDescent="0.35">
      <c r="A388" s="2" t="s">
        <v>310</v>
      </c>
      <c r="B388" s="2">
        <v>60497</v>
      </c>
      <c r="C388" s="2" t="s">
        <v>6</v>
      </c>
      <c r="D388" s="2" t="s">
        <v>121</v>
      </c>
      <c r="E388" s="3">
        <v>46.74</v>
      </c>
    </row>
    <row r="389" spans="1:5" x14ac:dyDescent="0.35">
      <c r="A389" s="2" t="s">
        <v>310</v>
      </c>
      <c r="B389" s="2">
        <v>60496</v>
      </c>
      <c r="C389" s="2" t="s">
        <v>6</v>
      </c>
      <c r="D389" s="2" t="s">
        <v>122</v>
      </c>
      <c r="E389" s="3">
        <v>42.49</v>
      </c>
    </row>
    <row r="390" spans="1:5" x14ac:dyDescent="0.35">
      <c r="A390" s="2" t="s">
        <v>310</v>
      </c>
      <c r="B390" s="2">
        <v>60510</v>
      </c>
      <c r="C390" s="2" t="s">
        <v>6</v>
      </c>
      <c r="D390" s="2" t="s">
        <v>362</v>
      </c>
      <c r="E390" s="3">
        <v>22.94</v>
      </c>
    </row>
    <row r="391" spans="1:5" x14ac:dyDescent="0.35">
      <c r="A391" s="2" t="s">
        <v>310</v>
      </c>
      <c r="B391" s="2">
        <v>60493</v>
      </c>
      <c r="C391" s="2" t="s">
        <v>6</v>
      </c>
      <c r="D391" s="2" t="s">
        <v>363</v>
      </c>
      <c r="E391" s="3">
        <v>38.24</v>
      </c>
    </row>
    <row r="392" spans="1:5" x14ac:dyDescent="0.35">
      <c r="A392" s="2" t="s">
        <v>310</v>
      </c>
      <c r="B392" s="2">
        <v>60508</v>
      </c>
      <c r="C392" s="2" t="s">
        <v>6</v>
      </c>
      <c r="D392" s="2" t="s">
        <v>111</v>
      </c>
      <c r="E392" s="3">
        <v>169.99</v>
      </c>
    </row>
    <row r="393" spans="1:5" x14ac:dyDescent="0.35">
      <c r="A393" s="2" t="s">
        <v>310</v>
      </c>
      <c r="B393" s="2">
        <v>60484</v>
      </c>
      <c r="C393" s="2" t="s">
        <v>6</v>
      </c>
      <c r="D393" s="2" t="s">
        <v>134</v>
      </c>
      <c r="E393" s="3">
        <v>8.49</v>
      </c>
    </row>
    <row r="394" spans="1:5" x14ac:dyDescent="0.35">
      <c r="A394" s="2" t="s">
        <v>310</v>
      </c>
      <c r="B394" s="2">
        <v>60481</v>
      </c>
      <c r="C394" s="2" t="s">
        <v>6</v>
      </c>
      <c r="D394" s="2" t="s">
        <v>137</v>
      </c>
      <c r="E394" s="3">
        <v>8.49</v>
      </c>
    </row>
    <row r="395" spans="1:5" x14ac:dyDescent="0.35">
      <c r="A395" s="2" t="s">
        <v>310</v>
      </c>
      <c r="B395" s="2">
        <v>60483</v>
      </c>
      <c r="C395" s="2" t="s">
        <v>6</v>
      </c>
      <c r="D395" s="2" t="s">
        <v>135</v>
      </c>
      <c r="E395" s="3">
        <v>8.49</v>
      </c>
    </row>
    <row r="396" spans="1:5" x14ac:dyDescent="0.35">
      <c r="A396" s="2" t="s">
        <v>310</v>
      </c>
      <c r="B396" s="2">
        <v>60504</v>
      </c>
      <c r="C396" s="2" t="s">
        <v>6</v>
      </c>
      <c r="D396" s="2" t="s">
        <v>114</v>
      </c>
      <c r="E396" s="3">
        <v>87.99</v>
      </c>
    </row>
    <row r="397" spans="1:5" x14ac:dyDescent="0.35">
      <c r="A397" s="2" t="s">
        <v>310</v>
      </c>
      <c r="B397" s="2">
        <v>60482</v>
      </c>
      <c r="C397" s="2" t="s">
        <v>6</v>
      </c>
      <c r="D397" s="2" t="s">
        <v>136</v>
      </c>
      <c r="E397" s="3">
        <v>8.49</v>
      </c>
    </row>
    <row r="398" spans="1:5" x14ac:dyDescent="0.35">
      <c r="A398" s="2" t="s">
        <v>310</v>
      </c>
      <c r="B398" s="2">
        <v>60505</v>
      </c>
      <c r="C398" s="2" t="s">
        <v>6</v>
      </c>
      <c r="D398" s="2" t="s">
        <v>113</v>
      </c>
      <c r="E398" s="3">
        <v>55.99</v>
      </c>
    </row>
    <row r="399" spans="1:5" x14ac:dyDescent="0.35">
      <c r="A399" s="2" t="s">
        <v>310</v>
      </c>
      <c r="B399" s="2">
        <v>60479</v>
      </c>
      <c r="C399" s="2" t="s">
        <v>6</v>
      </c>
      <c r="D399" s="2" t="s">
        <v>139</v>
      </c>
      <c r="E399" s="3">
        <v>16.989999999999998</v>
      </c>
    </row>
    <row r="400" spans="1:5" x14ac:dyDescent="0.35">
      <c r="A400" s="2" t="s">
        <v>310</v>
      </c>
      <c r="B400" s="2">
        <v>60503</v>
      </c>
      <c r="C400" s="2" t="s">
        <v>6</v>
      </c>
      <c r="D400" s="2" t="s">
        <v>115</v>
      </c>
      <c r="E400" s="3">
        <v>41.99</v>
      </c>
    </row>
    <row r="401" spans="1:5" x14ac:dyDescent="0.35">
      <c r="A401" s="2" t="s">
        <v>310</v>
      </c>
      <c r="B401" s="2">
        <v>60498</v>
      </c>
      <c r="C401" s="2" t="s">
        <v>6</v>
      </c>
      <c r="D401" s="2" t="s">
        <v>120</v>
      </c>
      <c r="E401" s="3">
        <v>16.989999999999998</v>
      </c>
    </row>
    <row r="402" spans="1:5" x14ac:dyDescent="0.35">
      <c r="A402" s="2" t="s">
        <v>310</v>
      </c>
      <c r="B402" s="2">
        <v>60500</v>
      </c>
      <c r="C402" s="2" t="s">
        <v>6</v>
      </c>
      <c r="D402" s="2" t="s">
        <v>364</v>
      </c>
      <c r="E402" s="3">
        <v>25.49</v>
      </c>
    </row>
    <row r="403" spans="1:5" x14ac:dyDescent="0.35">
      <c r="A403" s="2" t="s">
        <v>310</v>
      </c>
      <c r="B403" s="2">
        <v>60490</v>
      </c>
      <c r="C403" s="2" t="s">
        <v>6</v>
      </c>
      <c r="D403" s="2" t="s">
        <v>128</v>
      </c>
      <c r="E403" s="3">
        <v>21.24</v>
      </c>
    </row>
    <row r="404" spans="1:5" x14ac:dyDescent="0.35">
      <c r="A404" s="2" t="s">
        <v>310</v>
      </c>
      <c r="B404" s="2">
        <v>60491</v>
      </c>
      <c r="C404" s="2" t="s">
        <v>6</v>
      </c>
      <c r="D404" s="2" t="s">
        <v>127</v>
      </c>
      <c r="E404" s="3">
        <v>16.989999999999998</v>
      </c>
    </row>
    <row r="405" spans="1:5" x14ac:dyDescent="0.35">
      <c r="A405" s="2" t="s">
        <v>310</v>
      </c>
      <c r="B405" s="2">
        <v>60487</v>
      </c>
      <c r="C405" s="2" t="s">
        <v>6</v>
      </c>
      <c r="D405" s="2" t="s">
        <v>131</v>
      </c>
      <c r="E405" s="3">
        <v>12.74</v>
      </c>
    </row>
    <row r="406" spans="1:5" x14ac:dyDescent="0.35">
      <c r="A406" s="2" t="s">
        <v>310</v>
      </c>
      <c r="B406" s="2">
        <v>60486</v>
      </c>
      <c r="C406" s="2" t="s">
        <v>6</v>
      </c>
      <c r="D406" s="2" t="s">
        <v>132</v>
      </c>
      <c r="E406" s="3">
        <v>8.49</v>
      </c>
    </row>
    <row r="407" spans="1:5" x14ac:dyDescent="0.35">
      <c r="A407" s="2" t="s">
        <v>310</v>
      </c>
      <c r="B407" s="2">
        <v>60488</v>
      </c>
      <c r="C407" s="2" t="s">
        <v>6</v>
      </c>
      <c r="D407" s="2" t="s">
        <v>130</v>
      </c>
      <c r="E407" s="3">
        <v>16.989999999999998</v>
      </c>
    </row>
    <row r="408" spans="1:5" x14ac:dyDescent="0.35">
      <c r="A408" s="2" t="s">
        <v>310</v>
      </c>
      <c r="B408" s="2">
        <v>60489</v>
      </c>
      <c r="C408" s="2" t="s">
        <v>6</v>
      </c>
      <c r="D408" s="2" t="s">
        <v>129</v>
      </c>
      <c r="E408" s="3">
        <v>25.49</v>
      </c>
    </row>
    <row r="409" spans="1:5" x14ac:dyDescent="0.35">
      <c r="A409" s="2" t="s">
        <v>310</v>
      </c>
      <c r="B409" s="2">
        <v>60478</v>
      </c>
      <c r="C409" s="2" t="s">
        <v>6</v>
      </c>
      <c r="D409" s="2" t="s">
        <v>140</v>
      </c>
      <c r="E409" s="3">
        <v>33.99</v>
      </c>
    </row>
    <row r="410" spans="1:5" x14ac:dyDescent="0.35">
      <c r="A410" s="2" t="s">
        <v>310</v>
      </c>
      <c r="B410" s="2">
        <v>60485</v>
      </c>
      <c r="C410" s="2" t="s">
        <v>6</v>
      </c>
      <c r="D410" s="2" t="s">
        <v>133</v>
      </c>
      <c r="E410" s="3">
        <v>8.49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I248"/>
  <sheetViews>
    <sheetView tabSelected="1" topLeftCell="B1" workbookViewId="0">
      <pane ySplit="1" topLeftCell="A229" activePane="bottomLeft" state="frozen"/>
      <selection pane="bottomLeft"/>
    </sheetView>
  </sheetViews>
  <sheetFormatPr defaultRowHeight="14.5" x14ac:dyDescent="0.35"/>
  <cols>
    <col min="1" max="1" width="12" customWidth="1"/>
    <col min="2" max="2" width="48" customWidth="1"/>
    <col min="3" max="4" width="16" customWidth="1"/>
    <col min="5" max="5" width="18" customWidth="1"/>
    <col min="6" max="6" width="16" customWidth="1"/>
    <col min="7" max="8" width="18" customWidth="1"/>
    <col min="9" max="9" width="16" customWidth="1"/>
  </cols>
  <sheetData>
    <row r="1" spans="1:9" ht="28.5" x14ac:dyDescent="0.35">
      <c r="A1" s="4" t="s">
        <v>1</v>
      </c>
      <c r="B1" s="4" t="s">
        <v>365</v>
      </c>
      <c r="C1" s="4" t="s">
        <v>366</v>
      </c>
      <c r="D1" s="4" t="s">
        <v>367</v>
      </c>
      <c r="E1" s="4" t="s">
        <v>368</v>
      </c>
      <c r="F1" s="4" t="s">
        <v>369</v>
      </c>
      <c r="G1" s="4" t="s">
        <v>370</v>
      </c>
      <c r="H1" s="4" t="s">
        <v>371</v>
      </c>
      <c r="I1" s="4" t="s">
        <v>372</v>
      </c>
    </row>
    <row r="2" spans="1:9" hidden="1" x14ac:dyDescent="0.35">
      <c r="A2" s="5">
        <v>10305</v>
      </c>
      <c r="B2" s="6" t="str">
        <f>INDEX('Raw Data'!$D$2:$D$410,MATCH(A2,'Raw Data'!$B$2:$B$410,0))</f>
        <v>LEGO Icons 10305 Lion Knights' Castle 10305</v>
      </c>
      <c r="C2" s="5" t="str">
        <f>INDEX('Raw Data'!$C$2:$C$410,MATCH(A2,'Raw Data'!$B$2:$B$410,0))</f>
        <v>Lego Icons</v>
      </c>
      <c r="D2" s="7">
        <f>_xlfn.MINIFS('Raw Data'!$E$2:$E$410,'Raw Data'!$B$2:$B$410,A2)</f>
        <v>589.38</v>
      </c>
      <c r="E2" s="5" t="str">
        <f>INDEX('Raw Data'!$A$2:$A$410,MATCH(1,INDEX(('Raw Data'!$B$2:$B$410=A2)*('Raw Data'!$E$2:$E$410=D2),0),0))</f>
        <v>Brickmo</v>
      </c>
      <c r="F2" s="7">
        <f>_xlfn.MAXIFS('Raw Data'!$E$2:$E$410,'Raw Data'!$B$2:$B$410,A2)</f>
        <v>589.38</v>
      </c>
      <c r="G2" s="5" t="str">
        <f>INDEX('Raw Data'!$A$2:$A$410,MATCH(1,INDEX(('Raw Data'!$B$2:$B$410=A2)*('Raw Data'!$E$2:$E$410=F2),0),0))</f>
        <v>Brickmo</v>
      </c>
      <c r="H2" s="7">
        <f t="shared" ref="H2:H65" si="0">F2-D2</f>
        <v>0</v>
      </c>
      <c r="I2" s="5">
        <f>COUNTIF('Raw Data'!$B$2:$B$410,A2)</f>
        <v>1</v>
      </c>
    </row>
    <row r="3" spans="1:9" hidden="1" x14ac:dyDescent="0.35">
      <c r="A3" s="5">
        <v>10307</v>
      </c>
      <c r="B3" s="6" t="str">
        <f>INDEX('Raw Data'!$D$2:$D$410,MATCH(A3,'Raw Data'!$B$2:$B$410,0))</f>
        <v>LEGO Icons 10307 Eiffel Tower 10307</v>
      </c>
      <c r="C3" s="5" t="str">
        <f>INDEX('Raw Data'!$C$2:$C$410,MATCH(A3,'Raw Data'!$B$2:$B$410,0))</f>
        <v>Lego Icons</v>
      </c>
      <c r="D3" s="7">
        <f>_xlfn.MINIFS('Raw Data'!$E$2:$E$410,'Raw Data'!$B$2:$B$410,A3)</f>
        <v>702.11</v>
      </c>
      <c r="E3" s="5" t="str">
        <f>INDEX('Raw Data'!$A$2:$A$410,MATCH(1,INDEX(('Raw Data'!$B$2:$B$410=A3)*('Raw Data'!$E$2:$E$410=D3),0),0))</f>
        <v>Brickmo</v>
      </c>
      <c r="F3" s="7">
        <f>_xlfn.MAXIFS('Raw Data'!$E$2:$E$410,'Raw Data'!$B$2:$B$410,A3)</f>
        <v>702.11</v>
      </c>
      <c r="G3" s="5" t="str">
        <f>INDEX('Raw Data'!$A$2:$A$410,MATCH(1,INDEX(('Raw Data'!$B$2:$B$410=A3)*('Raw Data'!$E$2:$E$410=F3),0),0))</f>
        <v>Brickmo</v>
      </c>
      <c r="H3" s="7">
        <f t="shared" si="0"/>
        <v>0</v>
      </c>
      <c r="I3" s="5">
        <f>COUNTIF('Raw Data'!$B$2:$B$410,A3)</f>
        <v>1</v>
      </c>
    </row>
    <row r="4" spans="1:9" hidden="1" x14ac:dyDescent="0.35">
      <c r="A4" s="5">
        <v>10315</v>
      </c>
      <c r="B4" s="6" t="str">
        <f>INDEX('Raw Data'!$D$2:$D$410,MATCH(A4,'Raw Data'!$B$2:$B$410,0))</f>
        <v>LEGO Icons 10315 Tranquil Garden 10315</v>
      </c>
      <c r="C4" s="5" t="str">
        <f>INDEX('Raw Data'!$C$2:$C$410,MATCH(A4,'Raw Data'!$B$2:$B$410,0))</f>
        <v>Lego Icons</v>
      </c>
      <c r="D4" s="7">
        <f>_xlfn.MINIFS('Raw Data'!$E$2:$E$410,'Raw Data'!$B$2:$B$410,A4)</f>
        <v>97.32</v>
      </c>
      <c r="E4" s="5" t="str">
        <f>INDEX('Raw Data'!$A$2:$A$410,MATCH(1,INDEX(('Raw Data'!$B$2:$B$410=A4)*('Raw Data'!$E$2:$E$410=D4),0),0))</f>
        <v>Brickmo</v>
      </c>
      <c r="F4" s="7">
        <f>_xlfn.MAXIFS('Raw Data'!$E$2:$E$410,'Raw Data'!$B$2:$B$410,A4)</f>
        <v>97.32</v>
      </c>
      <c r="G4" s="5" t="str">
        <f>INDEX('Raw Data'!$A$2:$A$410,MATCH(1,INDEX(('Raw Data'!$B$2:$B$410=A4)*('Raw Data'!$E$2:$E$410=F4),0),0))</f>
        <v>Brickmo</v>
      </c>
      <c r="H4" s="7">
        <f t="shared" si="0"/>
        <v>0</v>
      </c>
      <c r="I4" s="5">
        <f>COUNTIF('Raw Data'!$B$2:$B$410,A4)</f>
        <v>1</v>
      </c>
    </row>
    <row r="5" spans="1:9" hidden="1" x14ac:dyDescent="0.35">
      <c r="A5" s="5">
        <v>10328</v>
      </c>
      <c r="B5" s="6" t="str">
        <f>INDEX('Raw Data'!$D$2:$D$410,MATCH(A5,'Raw Data'!$B$2:$B$410,0))</f>
        <v>LEGO Icons 10328 Bouquet of Roses 10328</v>
      </c>
      <c r="C5" s="5" t="str">
        <f>INDEX('Raw Data'!$C$2:$C$410,MATCH(A5,'Raw Data'!$B$2:$B$410,0))</f>
        <v>Lego Icons</v>
      </c>
      <c r="D5" s="7">
        <f>_xlfn.MINIFS('Raw Data'!$E$2:$E$410,'Raw Data'!$B$2:$B$410,A5)</f>
        <v>49.15</v>
      </c>
      <c r="E5" s="5" t="str">
        <f>INDEX('Raw Data'!$A$2:$A$410,MATCH(1,INDEX(('Raw Data'!$B$2:$B$410=A5)*('Raw Data'!$E$2:$E$410=D5),0),0))</f>
        <v>Brickmo</v>
      </c>
      <c r="F5" s="7">
        <f>_xlfn.MAXIFS('Raw Data'!$E$2:$E$410,'Raw Data'!$B$2:$B$410,A5)</f>
        <v>49.15</v>
      </c>
      <c r="G5" s="5" t="str">
        <f>INDEX('Raw Data'!$A$2:$A$410,MATCH(1,INDEX(('Raw Data'!$B$2:$B$410=A5)*('Raw Data'!$E$2:$E$410=F5),0),0))</f>
        <v>Brickmo</v>
      </c>
      <c r="H5" s="7">
        <f t="shared" si="0"/>
        <v>0</v>
      </c>
      <c r="I5" s="5">
        <f>COUNTIF('Raw Data'!$B$2:$B$410,A5)</f>
        <v>1</v>
      </c>
    </row>
    <row r="6" spans="1:9" hidden="1" x14ac:dyDescent="0.35">
      <c r="A6" s="5">
        <v>10331</v>
      </c>
      <c r="B6" s="6" t="str">
        <f>INDEX('Raw Data'!$D$2:$D$410,MATCH(A6,'Raw Data'!$B$2:$B$410,0))</f>
        <v>LEGO Icons 10331 Kingfisher Bird 10331</v>
      </c>
      <c r="C6" s="5" t="str">
        <f>INDEX('Raw Data'!$C$2:$C$410,MATCH(A6,'Raw Data'!$B$2:$B$410,0))</f>
        <v>Lego Icons</v>
      </c>
      <c r="D6" s="7">
        <f>_xlfn.MINIFS('Raw Data'!$E$2:$E$410,'Raw Data'!$B$2:$B$410,A6)</f>
        <v>46.07</v>
      </c>
      <c r="E6" s="5" t="str">
        <f>INDEX('Raw Data'!$A$2:$A$410,MATCH(1,INDEX(('Raw Data'!$B$2:$B$410=A6)*('Raw Data'!$E$2:$E$410=D6),0),0))</f>
        <v>Brickmo</v>
      </c>
      <c r="F6" s="7">
        <f>_xlfn.MAXIFS('Raw Data'!$E$2:$E$410,'Raw Data'!$B$2:$B$410,A6)</f>
        <v>46.07</v>
      </c>
      <c r="G6" s="5" t="str">
        <f>INDEX('Raw Data'!$A$2:$A$410,MATCH(1,INDEX(('Raw Data'!$B$2:$B$410=A6)*('Raw Data'!$E$2:$E$410=F6),0),0))</f>
        <v>Brickmo</v>
      </c>
      <c r="H6" s="7">
        <f t="shared" si="0"/>
        <v>0</v>
      </c>
      <c r="I6" s="5">
        <f>COUNTIF('Raw Data'!$B$2:$B$410,A6)</f>
        <v>1</v>
      </c>
    </row>
    <row r="7" spans="1:9" hidden="1" x14ac:dyDescent="0.35">
      <c r="A7" s="5">
        <v>10333</v>
      </c>
      <c r="B7" s="6" t="str">
        <f>INDEX('Raw Data'!$D$2:$D$410,MATCH(A7,'Raw Data'!$B$2:$B$410,0))</f>
        <v>LEGO Icons 10333 The Lord of the Rings:...</v>
      </c>
      <c r="C7" s="5" t="str">
        <f>INDEX('Raw Data'!$C$2:$C$410,MATCH(A7,'Raw Data'!$B$2:$B$410,0))</f>
        <v>Lego Icons</v>
      </c>
      <c r="D7" s="7">
        <f>_xlfn.MINIFS('Raw Data'!$E$2:$E$410,'Raw Data'!$B$2:$B$410,A7)</f>
        <v>497.13</v>
      </c>
      <c r="E7" s="5" t="str">
        <f>INDEX('Raw Data'!$A$2:$A$410,MATCH(1,INDEX(('Raw Data'!$B$2:$B$410=A7)*('Raw Data'!$E$2:$E$410=D7),0),0))</f>
        <v>Brickmo</v>
      </c>
      <c r="F7" s="7">
        <f>_xlfn.MAXIFS('Raw Data'!$E$2:$E$410,'Raw Data'!$B$2:$B$410,A7)</f>
        <v>497.13</v>
      </c>
      <c r="G7" s="5" t="str">
        <f>INDEX('Raw Data'!$A$2:$A$410,MATCH(1,INDEX(('Raw Data'!$B$2:$B$410=A7)*('Raw Data'!$E$2:$E$410=F7),0),0))</f>
        <v>Brickmo</v>
      </c>
      <c r="H7" s="7">
        <f t="shared" si="0"/>
        <v>0</v>
      </c>
      <c r="I7" s="5">
        <f>COUNTIF('Raw Data'!$B$2:$B$410,A7)</f>
        <v>1</v>
      </c>
    </row>
    <row r="8" spans="1:9" x14ac:dyDescent="0.35">
      <c r="A8" s="5">
        <v>10335</v>
      </c>
      <c r="B8" s="6" t="str">
        <f>INDEX('Raw Data'!$D$2:$D$410,MATCH(A8,'Raw Data'!$B$2:$B$410,0))</f>
        <v>LEGO Icons 10335 The Endurance 10335</v>
      </c>
      <c r="C8" s="5" t="str">
        <f>INDEX('Raw Data'!$C$2:$C$410,MATCH(A8,'Raw Data'!$B$2:$B$410,0))</f>
        <v>Lego Icons</v>
      </c>
      <c r="D8" s="7">
        <f>_xlfn.MINIFS('Raw Data'!$E$2:$E$410,'Raw Data'!$B$2:$B$410,A8)</f>
        <v>269.99</v>
      </c>
      <c r="E8" s="5" t="str">
        <f>INDEX('Raw Data'!$A$2:$A$410,MATCH(1,INDEX(('Raw Data'!$B$2:$B$410=A8)*('Raw Data'!$E$2:$E$410=D8),0),0))</f>
        <v>JB Spielwaren</v>
      </c>
      <c r="F8" s="7">
        <f>_xlfn.MAXIFS('Raw Data'!$E$2:$E$410,'Raw Data'!$B$2:$B$410,A8)</f>
        <v>286.95</v>
      </c>
      <c r="G8" s="5" t="str">
        <f>INDEX('Raw Data'!$A$2:$A$410,MATCH(1,INDEX(('Raw Data'!$B$2:$B$410=A8)*('Raw Data'!$E$2:$E$410=F8),0),0))</f>
        <v>Brickmo</v>
      </c>
      <c r="H8" s="7">
        <f t="shared" si="0"/>
        <v>16.95999999999998</v>
      </c>
      <c r="I8" s="5">
        <f>COUNTIF('Raw Data'!$B$2:$B$410,A8)</f>
        <v>2</v>
      </c>
    </row>
    <row r="9" spans="1:9" hidden="1" x14ac:dyDescent="0.35">
      <c r="A9" s="5">
        <v>10337</v>
      </c>
      <c r="B9" s="6" t="str">
        <f>INDEX('Raw Data'!$D$2:$D$410,MATCH(A9,'Raw Data'!$B$2:$B$410,0))</f>
        <v>LEGO Icons 10337 Lamborghini Countach 5000...</v>
      </c>
      <c r="C9" s="5" t="str">
        <f>INDEX('Raw Data'!$C$2:$C$410,MATCH(A9,'Raw Data'!$B$2:$B$410,0))</f>
        <v>Lego Icons</v>
      </c>
      <c r="D9" s="7">
        <f>_xlfn.MINIFS('Raw Data'!$E$2:$E$410,'Raw Data'!$B$2:$B$410,A9)</f>
        <v>174.2</v>
      </c>
      <c r="E9" s="5" t="str">
        <f>INDEX('Raw Data'!$A$2:$A$410,MATCH(1,INDEX(('Raw Data'!$B$2:$B$410=A9)*('Raw Data'!$E$2:$E$410=D9),0),0))</f>
        <v>Brickmo</v>
      </c>
      <c r="F9" s="7">
        <f>_xlfn.MAXIFS('Raw Data'!$E$2:$E$410,'Raw Data'!$B$2:$B$410,A9)</f>
        <v>174.2</v>
      </c>
      <c r="G9" s="5" t="str">
        <f>INDEX('Raw Data'!$A$2:$A$410,MATCH(1,INDEX(('Raw Data'!$B$2:$B$410=A9)*('Raw Data'!$E$2:$E$410=F9),0),0))</f>
        <v>Brickmo</v>
      </c>
      <c r="H9" s="7">
        <f t="shared" si="0"/>
        <v>0</v>
      </c>
      <c r="I9" s="5">
        <f>COUNTIF('Raw Data'!$B$2:$B$410,A9)</f>
        <v>1</v>
      </c>
    </row>
    <row r="10" spans="1:9" hidden="1" x14ac:dyDescent="0.35">
      <c r="A10" s="5">
        <v>10352</v>
      </c>
      <c r="B10" s="6" t="str">
        <f>INDEX('Raw Data'!$D$2:$D$410,MATCH(A10,'Raw Data'!$B$2:$B$410,0))</f>
        <v>LEGO 10352 The Simpsons™: Krusty Burger</v>
      </c>
      <c r="C10" s="5" t="str">
        <f>INDEX('Raw Data'!$C$2:$C$410,MATCH(A10,'Raw Data'!$B$2:$B$410,0))</f>
        <v>Lego Icons</v>
      </c>
      <c r="D10" s="7">
        <f>_xlfn.MINIFS('Raw Data'!$E$2:$E$410,'Raw Data'!$B$2:$B$410,A10)</f>
        <v>199.99</v>
      </c>
      <c r="E10" s="5" t="str">
        <f>INDEX('Raw Data'!$A$2:$A$410,MATCH(1,INDEX(('Raw Data'!$B$2:$B$410=A10)*('Raw Data'!$E$2:$E$410=D10),0),0))</f>
        <v>JB Spielwaren</v>
      </c>
      <c r="F10" s="7">
        <f>_xlfn.MAXIFS('Raw Data'!$E$2:$E$410,'Raw Data'!$B$2:$B$410,A10)</f>
        <v>199.99</v>
      </c>
      <c r="G10" s="5" t="str">
        <f>INDEX('Raw Data'!$A$2:$A$410,MATCH(1,INDEX(('Raw Data'!$B$2:$B$410=A10)*('Raw Data'!$E$2:$E$410=F10),0),0))</f>
        <v>JB Spielwaren</v>
      </c>
      <c r="H10" s="7">
        <f t="shared" si="0"/>
        <v>0</v>
      </c>
      <c r="I10" s="5">
        <f>COUNTIF('Raw Data'!$B$2:$B$410,A10)</f>
        <v>1</v>
      </c>
    </row>
    <row r="11" spans="1:9" hidden="1" x14ac:dyDescent="0.35">
      <c r="A11" s="5">
        <v>10353</v>
      </c>
      <c r="B11" s="6" t="str">
        <f>INDEX('Raw Data'!$D$2:$D$410,MATCH(A11,'Raw Data'!$B$2:$B$410,0))</f>
        <v>LEGO 10353 Williams Racing FW14B with Nigel Mansell</v>
      </c>
      <c r="C11" s="5" t="str">
        <f>INDEX('Raw Data'!$C$2:$C$410,MATCH(A11,'Raw Data'!$B$2:$B$410,0))</f>
        <v>Lego Icons</v>
      </c>
      <c r="D11" s="7">
        <f>_xlfn.MINIFS('Raw Data'!$E$2:$E$410,'Raw Data'!$B$2:$B$410,A11)</f>
        <v>67.989999999999995</v>
      </c>
      <c r="E11" s="5" t="str">
        <f>INDEX('Raw Data'!$A$2:$A$410,MATCH(1,INDEX(('Raw Data'!$B$2:$B$410=A11)*('Raw Data'!$E$2:$E$410=D11),0),0))</f>
        <v>JB Spielwaren</v>
      </c>
      <c r="F11" s="7">
        <f>_xlfn.MAXIFS('Raw Data'!$E$2:$E$410,'Raw Data'!$B$2:$B$410,A11)</f>
        <v>67.989999999999995</v>
      </c>
      <c r="G11" s="5" t="str">
        <f>INDEX('Raw Data'!$A$2:$A$410,MATCH(1,INDEX(('Raw Data'!$B$2:$B$410=A11)*('Raw Data'!$E$2:$E$410=F11),0),0))</f>
        <v>JB Spielwaren</v>
      </c>
      <c r="H11" s="7">
        <f t="shared" si="0"/>
        <v>0</v>
      </c>
      <c r="I11" s="5">
        <f>COUNTIF('Raw Data'!$B$2:$B$410,A11)</f>
        <v>1</v>
      </c>
    </row>
    <row r="12" spans="1:9" hidden="1" x14ac:dyDescent="0.35">
      <c r="A12" s="5">
        <v>10356</v>
      </c>
      <c r="B12" s="6" t="str">
        <f>INDEX('Raw Data'!$D$2:$D$410,MATCH(A12,'Raw Data'!$B$2:$B$410,0))</f>
        <v>LEGO Icons 10356 Star Trek: U.S.S. Enterprise...</v>
      </c>
      <c r="C12" s="5" t="str">
        <f>INDEX('Raw Data'!$C$2:$C$410,MATCH(A12,'Raw Data'!$B$2:$B$410,0))</f>
        <v>Lego Icons</v>
      </c>
      <c r="D12" s="7">
        <f>_xlfn.MINIFS('Raw Data'!$E$2:$E$410,'Raw Data'!$B$2:$B$410,A12)</f>
        <v>389.49</v>
      </c>
      <c r="E12" s="5" t="str">
        <f>INDEX('Raw Data'!$A$2:$A$410,MATCH(1,INDEX(('Raw Data'!$B$2:$B$410=A12)*('Raw Data'!$E$2:$E$410=D12),0),0))</f>
        <v>Brickmo</v>
      </c>
      <c r="F12" s="7">
        <f>_xlfn.MAXIFS('Raw Data'!$E$2:$E$410,'Raw Data'!$B$2:$B$410,A12)</f>
        <v>389.49</v>
      </c>
      <c r="G12" s="5" t="str">
        <f>INDEX('Raw Data'!$A$2:$A$410,MATCH(1,INDEX(('Raw Data'!$B$2:$B$410=A12)*('Raw Data'!$E$2:$E$410=F12),0),0))</f>
        <v>Brickmo</v>
      </c>
      <c r="H12" s="7">
        <f t="shared" si="0"/>
        <v>0</v>
      </c>
      <c r="I12" s="5">
        <f>COUNTIF('Raw Data'!$B$2:$B$410,A12)</f>
        <v>1</v>
      </c>
    </row>
    <row r="13" spans="1:9" hidden="1" x14ac:dyDescent="0.35">
      <c r="A13" s="5">
        <v>10357</v>
      </c>
      <c r="B13" s="6" t="str">
        <f>INDEX('Raw Data'!$D$2:$D$410,MATCH(A13,'Raw Data'!$B$2:$B$410,0))</f>
        <v>LEGO 10357 Shelby Cobra 427 S/C</v>
      </c>
      <c r="C13" s="5" t="str">
        <f>INDEX('Raw Data'!$C$2:$C$410,MATCH(A13,'Raw Data'!$B$2:$B$410,0))</f>
        <v>Lego Icons</v>
      </c>
      <c r="D13" s="7">
        <f>_xlfn.MINIFS('Raw Data'!$E$2:$E$410,'Raw Data'!$B$2:$B$410,A13)</f>
        <v>149.99</v>
      </c>
      <c r="E13" s="5" t="str">
        <f>INDEX('Raw Data'!$A$2:$A$410,MATCH(1,INDEX(('Raw Data'!$B$2:$B$410=A13)*('Raw Data'!$E$2:$E$410=D13),0),0))</f>
        <v>JB Spielwaren</v>
      </c>
      <c r="F13" s="7">
        <f>_xlfn.MAXIFS('Raw Data'!$E$2:$E$410,'Raw Data'!$B$2:$B$410,A13)</f>
        <v>149.99</v>
      </c>
      <c r="G13" s="5" t="str">
        <f>INDEX('Raw Data'!$A$2:$A$410,MATCH(1,INDEX(('Raw Data'!$B$2:$B$410=A13)*('Raw Data'!$E$2:$E$410=F13),0),0))</f>
        <v>JB Spielwaren</v>
      </c>
      <c r="H13" s="7">
        <f t="shared" si="0"/>
        <v>0</v>
      </c>
      <c r="I13" s="5">
        <f>COUNTIF('Raw Data'!$B$2:$B$410,A13)</f>
        <v>1</v>
      </c>
    </row>
    <row r="14" spans="1:9" hidden="1" x14ac:dyDescent="0.35">
      <c r="A14" s="5">
        <v>10358</v>
      </c>
      <c r="B14" s="6" t="str">
        <f>INDEX('Raw Data'!$D$2:$D$410,MATCH(A14,'Raw Data'!$B$2:$B$410,0))</f>
        <v>LEGO 10358 Transformers: Soundwave</v>
      </c>
      <c r="C14" s="5" t="str">
        <f>INDEX('Raw Data'!$C$2:$C$410,MATCH(A14,'Raw Data'!$B$2:$B$410,0))</f>
        <v>Lego Icons</v>
      </c>
      <c r="D14" s="7">
        <f>_xlfn.MINIFS('Raw Data'!$E$2:$E$410,'Raw Data'!$B$2:$B$410,A14)</f>
        <v>134.99</v>
      </c>
      <c r="E14" s="5" t="str">
        <f>INDEX('Raw Data'!$A$2:$A$410,MATCH(1,INDEX(('Raw Data'!$B$2:$B$410=A14)*('Raw Data'!$E$2:$E$410=D14),0),0))</f>
        <v>JB Spielwaren</v>
      </c>
      <c r="F14" s="7">
        <f>_xlfn.MAXIFS('Raw Data'!$E$2:$E$410,'Raw Data'!$B$2:$B$410,A14)</f>
        <v>134.99</v>
      </c>
      <c r="G14" s="5" t="str">
        <f>INDEX('Raw Data'!$A$2:$A$410,MATCH(1,INDEX(('Raw Data'!$B$2:$B$410=A14)*('Raw Data'!$E$2:$E$410=F14),0),0))</f>
        <v>JB Spielwaren</v>
      </c>
      <c r="H14" s="7">
        <f t="shared" si="0"/>
        <v>0</v>
      </c>
      <c r="I14" s="5">
        <f>COUNTIF('Raw Data'!$B$2:$B$410,A14)</f>
        <v>1</v>
      </c>
    </row>
    <row r="15" spans="1:9" hidden="1" x14ac:dyDescent="0.35">
      <c r="A15" s="5">
        <v>10359</v>
      </c>
      <c r="B15" s="6" t="str">
        <f>INDEX('Raw Data'!$D$2:$D$410,MATCH(A15,'Raw Data'!$B$2:$B$410,0))</f>
        <v>LEGO 10359 Spanish fountain garden</v>
      </c>
      <c r="C15" s="5" t="str">
        <f>INDEX('Raw Data'!$C$2:$C$410,MATCH(A15,'Raw Data'!$B$2:$B$410,0))</f>
        <v>Lego Icons</v>
      </c>
      <c r="D15" s="7">
        <f>_xlfn.MINIFS('Raw Data'!$E$2:$E$410,'Raw Data'!$B$2:$B$410,A15)</f>
        <v>84.99</v>
      </c>
      <c r="E15" s="5" t="str">
        <f>INDEX('Raw Data'!$A$2:$A$410,MATCH(1,INDEX(('Raw Data'!$B$2:$B$410=A15)*('Raw Data'!$E$2:$E$410=D15),0),0))</f>
        <v>JB Spielwaren</v>
      </c>
      <c r="F15" s="7">
        <f>_xlfn.MAXIFS('Raw Data'!$E$2:$E$410,'Raw Data'!$B$2:$B$410,A15)</f>
        <v>84.99</v>
      </c>
      <c r="G15" s="5" t="str">
        <f>INDEX('Raw Data'!$A$2:$A$410,MATCH(1,INDEX(('Raw Data'!$B$2:$B$410=A15)*('Raw Data'!$E$2:$E$410=F15),0),0))</f>
        <v>JB Spielwaren</v>
      </c>
      <c r="H15" s="7">
        <f t="shared" si="0"/>
        <v>0</v>
      </c>
      <c r="I15" s="5">
        <f>COUNTIF('Raw Data'!$B$2:$B$410,A15)</f>
        <v>1</v>
      </c>
    </row>
    <row r="16" spans="1:9" hidden="1" x14ac:dyDescent="0.35">
      <c r="A16" s="5">
        <v>10360</v>
      </c>
      <c r="B16" s="6" t="str">
        <f>INDEX('Raw Data'!$D$2:$D$410,MATCH(A16,'Raw Data'!$B$2:$B$410,0))</f>
        <v>LEGO Icons 10360 Shuttle Carrier Aircraft 10360</v>
      </c>
      <c r="C16" s="5" t="str">
        <f>INDEX('Raw Data'!$C$2:$C$410,MATCH(A16,'Raw Data'!$B$2:$B$410,0))</f>
        <v>Lego Icons</v>
      </c>
      <c r="D16" s="7">
        <f>_xlfn.MINIFS('Raw Data'!$E$2:$E$410,'Raw Data'!$B$2:$B$410,A16)</f>
        <v>235.7</v>
      </c>
      <c r="E16" s="5" t="str">
        <f>INDEX('Raw Data'!$A$2:$A$410,MATCH(1,INDEX(('Raw Data'!$B$2:$B$410=A16)*('Raw Data'!$E$2:$E$410=D16),0),0))</f>
        <v>Brickmo</v>
      </c>
      <c r="F16" s="7">
        <f>_xlfn.MAXIFS('Raw Data'!$E$2:$E$410,'Raw Data'!$B$2:$B$410,A16)</f>
        <v>235.7</v>
      </c>
      <c r="G16" s="5" t="str">
        <f>INDEX('Raw Data'!$A$2:$A$410,MATCH(1,INDEX(('Raw Data'!$B$2:$B$410=A16)*('Raw Data'!$E$2:$E$410=F16),0),0))</f>
        <v>Brickmo</v>
      </c>
      <c r="H16" s="7">
        <f t="shared" si="0"/>
        <v>0</v>
      </c>
      <c r="I16" s="5">
        <f>COUNTIF('Raw Data'!$B$2:$B$410,A16)</f>
        <v>1</v>
      </c>
    </row>
    <row r="17" spans="1:9" hidden="1" x14ac:dyDescent="0.35">
      <c r="A17" s="5">
        <v>10362</v>
      </c>
      <c r="B17" s="6" t="str">
        <f>INDEX('Raw Data'!$D$2:$D$410,MATCH(A17,'Raw Data'!$B$2:$B$410,0))</f>
        <v>LEGO Icons 10362 French Café 10362</v>
      </c>
      <c r="C17" s="5" t="str">
        <f>INDEX('Raw Data'!$C$2:$C$410,MATCH(A17,'Raw Data'!$B$2:$B$410,0))</f>
        <v>Lego Icons</v>
      </c>
      <c r="D17" s="7">
        <f>_xlfn.MINIFS('Raw Data'!$E$2:$E$410,'Raw Data'!$B$2:$B$410,A17)</f>
        <v>64.56</v>
      </c>
      <c r="E17" s="5" t="str">
        <f>INDEX('Raw Data'!$A$2:$A$410,MATCH(1,INDEX(('Raw Data'!$B$2:$B$410=A17)*('Raw Data'!$E$2:$E$410=D17),0),0))</f>
        <v>Brickmo</v>
      </c>
      <c r="F17" s="7">
        <f>_xlfn.MAXIFS('Raw Data'!$E$2:$E$410,'Raw Data'!$B$2:$B$410,A17)</f>
        <v>64.56</v>
      </c>
      <c r="G17" s="5" t="str">
        <f>INDEX('Raw Data'!$A$2:$A$410,MATCH(1,INDEX(('Raw Data'!$B$2:$B$410=A17)*('Raw Data'!$E$2:$E$410=F17),0),0))</f>
        <v>Brickmo</v>
      </c>
      <c r="H17" s="7">
        <f t="shared" si="0"/>
        <v>0</v>
      </c>
      <c r="I17" s="5">
        <f>COUNTIF('Raw Data'!$B$2:$B$410,A17)</f>
        <v>1</v>
      </c>
    </row>
    <row r="18" spans="1:9" hidden="1" x14ac:dyDescent="0.35">
      <c r="A18" s="5">
        <v>10365</v>
      </c>
      <c r="B18" s="6" t="str">
        <f>INDEX('Raw Data'!$D$2:$D$410,MATCH(A18,'Raw Data'!$B$2:$B$410,0))</f>
        <v>LEGO Icons 10365 Captain Jack Sparrow's Pirate...</v>
      </c>
      <c r="C18" s="5" t="str">
        <f>INDEX('Raw Data'!$C$2:$C$410,MATCH(A18,'Raw Data'!$B$2:$B$410,0))</f>
        <v>Lego Icons</v>
      </c>
      <c r="D18" s="7">
        <f>_xlfn.MINIFS('Raw Data'!$E$2:$E$410,'Raw Data'!$B$2:$B$410,A18)</f>
        <v>358.74</v>
      </c>
      <c r="E18" s="5" t="str">
        <f>INDEX('Raw Data'!$A$2:$A$410,MATCH(1,INDEX(('Raw Data'!$B$2:$B$410=A18)*('Raw Data'!$E$2:$E$410=D18),0),0))</f>
        <v>Brickmo</v>
      </c>
      <c r="F18" s="7">
        <f>_xlfn.MAXIFS('Raw Data'!$E$2:$E$410,'Raw Data'!$B$2:$B$410,A18)</f>
        <v>358.74</v>
      </c>
      <c r="G18" s="5" t="str">
        <f>INDEX('Raw Data'!$A$2:$A$410,MATCH(1,INDEX(('Raw Data'!$B$2:$B$410=A18)*('Raw Data'!$E$2:$E$410=F18),0),0))</f>
        <v>Brickmo</v>
      </c>
      <c r="H18" s="7">
        <f t="shared" si="0"/>
        <v>0</v>
      </c>
      <c r="I18" s="5">
        <f>COUNTIF('Raw Data'!$B$2:$B$410,A18)</f>
        <v>1</v>
      </c>
    </row>
    <row r="19" spans="1:9" hidden="1" x14ac:dyDescent="0.35">
      <c r="A19" s="5">
        <v>10367</v>
      </c>
      <c r="B19" s="6" t="str">
        <f>INDEX('Raw Data'!$D$2:$D$410,MATCH(A19,'Raw Data'!$B$2:$B$410,0))</f>
        <v>LEGO 10367 The Lord of the Rings: Gandalf vs. Balrog</v>
      </c>
      <c r="C19" s="5" t="str">
        <f>INDEX('Raw Data'!$C$2:$C$410,MATCH(A19,'Raw Data'!$B$2:$B$410,0))</f>
        <v>Lego Icons</v>
      </c>
      <c r="D19" s="7">
        <f>_xlfn.MINIFS('Raw Data'!$E$2:$E$410,'Raw Data'!$B$2:$B$410,A19)</f>
        <v>101.99</v>
      </c>
      <c r="E19" s="5" t="str">
        <f>INDEX('Raw Data'!$A$2:$A$410,MATCH(1,INDEX(('Raw Data'!$B$2:$B$410=A19)*('Raw Data'!$E$2:$E$410=D19),0),0))</f>
        <v>JB Spielwaren</v>
      </c>
      <c r="F19" s="7">
        <f>_xlfn.MAXIFS('Raw Data'!$E$2:$E$410,'Raw Data'!$B$2:$B$410,A19)</f>
        <v>101.99</v>
      </c>
      <c r="G19" s="5" t="str">
        <f>INDEX('Raw Data'!$A$2:$A$410,MATCH(1,INDEX(('Raw Data'!$B$2:$B$410=A19)*('Raw Data'!$E$2:$E$410=F19),0),0))</f>
        <v>JB Spielwaren</v>
      </c>
      <c r="H19" s="7">
        <f t="shared" si="0"/>
        <v>0</v>
      </c>
      <c r="I19" s="5">
        <f>COUNTIF('Raw Data'!$B$2:$B$410,A19)</f>
        <v>1</v>
      </c>
    </row>
    <row r="20" spans="1:9" x14ac:dyDescent="0.35">
      <c r="A20" s="5">
        <v>11370</v>
      </c>
      <c r="B20" s="6" t="str">
        <f>INDEX('Raw Data'!$D$2:$D$410,MATCH(A20,'Raw Data'!$B$2:$B$410,0))</f>
        <v>LEGO Icons 11370 Stranger Things: The Creel...</v>
      </c>
      <c r="C20" s="5" t="str">
        <f>INDEX('Raw Data'!$C$2:$C$410,MATCH(A20,'Raw Data'!$B$2:$B$410,0))</f>
        <v>Lego Icons</v>
      </c>
      <c r="D20" s="7">
        <f>_xlfn.MINIFS('Raw Data'!$E$2:$E$410,'Raw Data'!$B$2:$B$410,A20)</f>
        <v>271.57</v>
      </c>
      <c r="E20" s="5" t="str">
        <f>INDEX('Raw Data'!$A$2:$A$410,MATCH(1,INDEX(('Raw Data'!$B$2:$B$410=A20)*('Raw Data'!$E$2:$E$410=D20),0),0))</f>
        <v>Brickmo</v>
      </c>
      <c r="F20" s="7">
        <f>_xlfn.MAXIFS('Raw Data'!$E$2:$E$410,'Raw Data'!$B$2:$B$410,A20)</f>
        <v>279.99</v>
      </c>
      <c r="G20" s="5" t="str">
        <f>INDEX('Raw Data'!$A$2:$A$410,MATCH(1,INDEX(('Raw Data'!$B$2:$B$410=A20)*('Raw Data'!$E$2:$E$410=F20),0),0))</f>
        <v>JB Spielwaren</v>
      </c>
      <c r="H20" s="7">
        <f t="shared" si="0"/>
        <v>8.4200000000000159</v>
      </c>
      <c r="I20" s="5">
        <f>COUNTIF('Raw Data'!$B$2:$B$410,A20)</f>
        <v>2</v>
      </c>
    </row>
    <row r="21" spans="1:9" x14ac:dyDescent="0.35">
      <c r="A21" s="5">
        <v>11371</v>
      </c>
      <c r="B21" s="6" t="str">
        <f>INDEX('Raw Data'!$D$2:$D$410,MATCH(A21,'Raw Data'!$B$2:$B$410,0))</f>
        <v>LEGO Icons 11371 Shopping Street 11371</v>
      </c>
      <c r="C21" s="5" t="str">
        <f>INDEX('Raw Data'!$C$2:$C$410,MATCH(A21,'Raw Data'!$B$2:$B$410,0))</f>
        <v>Lego Icons</v>
      </c>
      <c r="D21" s="7">
        <f>_xlfn.MINIFS('Raw Data'!$E$2:$E$410,'Raw Data'!$B$2:$B$410,A21)</f>
        <v>244.98</v>
      </c>
      <c r="E21" s="5" t="str">
        <f>INDEX('Raw Data'!$A$2:$A$410,MATCH(1,INDEX(('Raw Data'!$B$2:$B$410=A21)*('Raw Data'!$E$2:$E$410=D21),0),0))</f>
        <v>Brickmo</v>
      </c>
      <c r="F21" s="7">
        <f>_xlfn.MAXIFS('Raw Data'!$E$2:$E$410,'Raw Data'!$B$2:$B$410,A21)</f>
        <v>249.99</v>
      </c>
      <c r="G21" s="5" t="str">
        <f>INDEX('Raw Data'!$A$2:$A$410,MATCH(1,INDEX(('Raw Data'!$B$2:$B$410=A21)*('Raw Data'!$E$2:$E$410=F21),0),0))</f>
        <v>JB Spielwaren</v>
      </c>
      <c r="H21" s="7">
        <f t="shared" si="0"/>
        <v>5.0100000000000193</v>
      </c>
      <c r="I21" s="5">
        <f>COUNTIF('Raw Data'!$B$2:$B$410,A21)</f>
        <v>2</v>
      </c>
    </row>
    <row r="22" spans="1:9" hidden="1" x14ac:dyDescent="0.35">
      <c r="A22" s="5">
        <v>11372</v>
      </c>
      <c r="B22" s="6" t="str">
        <f>INDEX('Raw Data'!$D$2:$D$410,MATCH(A22,'Raw Data'!$B$2:$B$410,0))</f>
        <v>LEGO 11372 ICONS 11372</v>
      </c>
      <c r="C22" s="5" t="str">
        <f>INDEX('Raw Data'!$C$2:$C$410,MATCH(A22,'Raw Data'!$B$2:$B$410,0))</f>
        <v>Lego Icons</v>
      </c>
      <c r="D22" s="7">
        <f>_xlfn.MINIFS('Raw Data'!$E$2:$E$410,'Raw Data'!$B$2:$B$410,A22)</f>
        <v>87.99</v>
      </c>
      <c r="E22" s="5" t="str">
        <f>INDEX('Raw Data'!$A$2:$A$410,MATCH(1,INDEX(('Raw Data'!$B$2:$B$410=A22)*('Raw Data'!$E$2:$E$410=D22),0),0))</f>
        <v>JB Spielwaren</v>
      </c>
      <c r="F22" s="7">
        <f>_xlfn.MAXIFS('Raw Data'!$E$2:$E$410,'Raw Data'!$B$2:$B$410,A22)</f>
        <v>87.99</v>
      </c>
      <c r="G22" s="5" t="str">
        <f>INDEX('Raw Data'!$A$2:$A$410,MATCH(1,INDEX(('Raw Data'!$B$2:$B$410=A22)*('Raw Data'!$E$2:$E$410=F22),0),0))</f>
        <v>JB Spielwaren</v>
      </c>
      <c r="H22" s="7">
        <f t="shared" si="0"/>
        <v>0</v>
      </c>
      <c r="I22" s="5">
        <f>COUNTIF('Raw Data'!$B$2:$B$410,A22)</f>
        <v>1</v>
      </c>
    </row>
    <row r="23" spans="1:9" x14ac:dyDescent="0.35">
      <c r="A23" s="5">
        <v>11373</v>
      </c>
      <c r="B23" s="6" t="str">
        <f>INDEX('Raw Data'!$D$2:$D$410,MATCH(A23,'Raw Data'!$B$2:$B$410,0))</f>
        <v>LEGO Icons 11373 The Lord of the Rings:...</v>
      </c>
      <c r="C23" s="5" t="str">
        <f>INDEX('Raw Data'!$C$2:$C$410,MATCH(A23,'Raw Data'!$B$2:$B$410,0))</f>
        <v>Lego Icons</v>
      </c>
      <c r="D23" s="7">
        <f>_xlfn.MINIFS('Raw Data'!$E$2:$E$410,'Raw Data'!$B$2:$B$410,A23)</f>
        <v>59.99</v>
      </c>
      <c r="E23" s="5" t="str">
        <f>INDEX('Raw Data'!$A$2:$A$410,MATCH(1,INDEX(('Raw Data'!$B$2:$B$410=A23)*('Raw Data'!$E$2:$E$410=D23),0),0))</f>
        <v>JB Spielwaren</v>
      </c>
      <c r="F23" s="7">
        <f>_xlfn.MAXIFS('Raw Data'!$E$2:$E$410,'Raw Data'!$B$2:$B$410,A23)</f>
        <v>61.45</v>
      </c>
      <c r="G23" s="5" t="str">
        <f>INDEX('Raw Data'!$A$2:$A$410,MATCH(1,INDEX(('Raw Data'!$B$2:$B$410=A23)*('Raw Data'!$E$2:$E$410=F23),0),0))</f>
        <v>Brickmo</v>
      </c>
      <c r="H23" s="7">
        <f t="shared" si="0"/>
        <v>1.4600000000000009</v>
      </c>
      <c r="I23" s="5">
        <f>COUNTIF('Raw Data'!$B$2:$B$410,A23)</f>
        <v>2</v>
      </c>
    </row>
    <row r="24" spans="1:9" x14ac:dyDescent="0.35">
      <c r="A24" s="5">
        <v>11375</v>
      </c>
      <c r="B24" s="6" t="str">
        <f>INDEX('Raw Data'!$D$2:$D$410,MATCH(A24,'Raw Data'!$B$2:$B$410,0))</f>
        <v>LEGO Icons 11375 Ferrari F2004 &amp; Michael...</v>
      </c>
      <c r="C24" s="5" t="str">
        <f>INDEX('Raw Data'!$C$2:$C$410,MATCH(A24,'Raw Data'!$B$2:$B$410,0))</f>
        <v>Lego Icons</v>
      </c>
      <c r="D24" s="7">
        <f>_xlfn.MINIFS('Raw Data'!$E$2:$E$410,'Raw Data'!$B$2:$B$410,A24)</f>
        <v>71.7</v>
      </c>
      <c r="E24" s="5" t="str">
        <f>INDEX('Raw Data'!$A$2:$A$410,MATCH(1,INDEX(('Raw Data'!$B$2:$B$410=A24)*('Raw Data'!$E$2:$E$410=D24),0),0))</f>
        <v>Brickmo</v>
      </c>
      <c r="F24" s="7">
        <f>_xlfn.MAXIFS('Raw Data'!$E$2:$E$410,'Raw Data'!$B$2:$B$410,A24)</f>
        <v>76.489999999999995</v>
      </c>
      <c r="G24" s="5" t="str">
        <f>INDEX('Raw Data'!$A$2:$A$410,MATCH(1,INDEX(('Raw Data'!$B$2:$B$410=A24)*('Raw Data'!$E$2:$E$410=F24),0),0))</f>
        <v>JB Spielwaren</v>
      </c>
      <c r="H24" s="7">
        <f t="shared" si="0"/>
        <v>4.789999999999992</v>
      </c>
      <c r="I24" s="5">
        <f>COUNTIF('Raw Data'!$B$2:$B$410,A24)</f>
        <v>2</v>
      </c>
    </row>
    <row r="25" spans="1:9" x14ac:dyDescent="0.35">
      <c r="A25" s="5">
        <v>11376</v>
      </c>
      <c r="B25" s="6" t="str">
        <f>INDEX('Raw Data'!$D$2:$D$410,MATCH(A25,'Raw Data'!$B$2:$B$410,0))</f>
        <v>LEGO Icons 11376 Ford Model T 11376</v>
      </c>
      <c r="C25" s="5" t="str">
        <f>INDEX('Raw Data'!$C$2:$C$410,MATCH(A25,'Raw Data'!$B$2:$B$410,0))</f>
        <v>Lego Icons</v>
      </c>
      <c r="D25" s="7">
        <f>_xlfn.MINIFS('Raw Data'!$E$2:$E$410,'Raw Data'!$B$2:$B$410,A25)</f>
        <v>94.99</v>
      </c>
      <c r="E25" s="5" t="str">
        <f>INDEX('Raw Data'!$A$2:$A$410,MATCH(1,INDEX(('Raw Data'!$B$2:$B$410=A25)*('Raw Data'!$E$2:$E$410=D25),0),0))</f>
        <v>JB Spielwaren</v>
      </c>
      <c r="F25" s="7">
        <f>_xlfn.MAXIFS('Raw Data'!$E$2:$E$410,'Raw Data'!$B$2:$B$410,A25)</f>
        <v>107.57</v>
      </c>
      <c r="G25" s="5" t="str">
        <f>INDEX('Raw Data'!$A$2:$A$410,MATCH(1,INDEX(('Raw Data'!$B$2:$B$410=A25)*('Raw Data'!$E$2:$E$410=F25),0),0))</f>
        <v>Brickmo</v>
      </c>
      <c r="H25" s="7">
        <f t="shared" si="0"/>
        <v>12.579999999999998</v>
      </c>
      <c r="I25" s="5">
        <f>COUNTIF('Raw Data'!$B$2:$B$410,A25)</f>
        <v>2</v>
      </c>
    </row>
    <row r="26" spans="1:9" hidden="1" x14ac:dyDescent="0.35">
      <c r="A26" s="5">
        <v>11378</v>
      </c>
      <c r="B26" s="6" t="str">
        <f>INDEX('Raw Data'!$D$2:$D$410,MATCH(A26,'Raw Data'!$B$2:$B$410,0))</f>
        <v>LEGO Icons 11378 Douglas DC-3 PAN AM Airliner...</v>
      </c>
      <c r="C26" s="5" t="str">
        <f>INDEX('Raw Data'!$C$2:$C$410,MATCH(A26,'Raw Data'!$B$2:$B$410,0))</f>
        <v>Lego Icons</v>
      </c>
      <c r="D26" s="7">
        <f>_xlfn.MINIFS('Raw Data'!$E$2:$E$410,'Raw Data'!$B$2:$B$410,A26)</f>
        <v>235.7</v>
      </c>
      <c r="E26" s="5" t="str">
        <f>INDEX('Raw Data'!$A$2:$A$410,MATCH(1,INDEX(('Raw Data'!$B$2:$B$410=A26)*('Raw Data'!$E$2:$E$410=D26),0),0))</f>
        <v>Brickmo</v>
      </c>
      <c r="F26" s="7">
        <f>_xlfn.MAXIFS('Raw Data'!$E$2:$E$410,'Raw Data'!$B$2:$B$410,A26)</f>
        <v>235.7</v>
      </c>
      <c r="G26" s="5" t="str">
        <f>INDEX('Raw Data'!$A$2:$A$410,MATCH(1,INDEX(('Raw Data'!$B$2:$B$410=A26)*('Raw Data'!$E$2:$E$410=F26),0),0))</f>
        <v>Brickmo</v>
      </c>
      <c r="H26" s="7">
        <f t="shared" si="0"/>
        <v>0</v>
      </c>
      <c r="I26" s="5">
        <f>COUNTIF('Raw Data'!$B$2:$B$410,A26)</f>
        <v>1</v>
      </c>
    </row>
    <row r="27" spans="1:9" x14ac:dyDescent="0.35">
      <c r="A27" s="5">
        <v>11380</v>
      </c>
      <c r="B27" s="6" t="str">
        <f>INDEX('Raw Data'!$D$2:$D$410,MATCH(A27,'Raw Data'!$B$2:$B$410,0))</f>
        <v>LEGO Icons 11380 Road Bike 11380</v>
      </c>
      <c r="C27" s="5" t="str">
        <f>INDEX('Raw Data'!$C$2:$C$410,MATCH(A27,'Raw Data'!$B$2:$B$410,0))</f>
        <v>Lego Icons</v>
      </c>
      <c r="D27" s="7">
        <f>_xlfn.MINIFS('Raw Data'!$E$2:$E$410,'Raw Data'!$B$2:$B$410,A27)</f>
        <v>94.99</v>
      </c>
      <c r="E27" s="5" t="str">
        <f>INDEX('Raw Data'!$A$2:$A$410,MATCH(1,INDEX(('Raw Data'!$B$2:$B$410=A27)*('Raw Data'!$E$2:$E$410=D27),0),0))</f>
        <v>JB Spielwaren</v>
      </c>
      <c r="F27" s="7">
        <f>_xlfn.MAXIFS('Raw Data'!$E$2:$E$410,'Raw Data'!$B$2:$B$410,A27)</f>
        <v>98.66</v>
      </c>
      <c r="G27" s="5" t="str">
        <f>INDEX('Raw Data'!$A$2:$A$410,MATCH(1,INDEX(('Raw Data'!$B$2:$B$410=A27)*('Raw Data'!$E$2:$E$410=F27),0),0))</f>
        <v>Brickmo</v>
      </c>
      <c r="H27" s="7">
        <f t="shared" si="0"/>
        <v>3.6700000000000017</v>
      </c>
      <c r="I27" s="5">
        <f>COUNTIF('Raw Data'!$B$2:$B$410,A27)</f>
        <v>2</v>
      </c>
    </row>
    <row r="28" spans="1:9" x14ac:dyDescent="0.35">
      <c r="A28" s="5">
        <v>11381</v>
      </c>
      <c r="B28" s="6" t="str">
        <f>INDEX('Raw Data'!$D$2:$D$410,MATCH(A28,'Raw Data'!$B$2:$B$410,0))</f>
        <v>LEGO Icons 11381 Jaguar E-Type 11381</v>
      </c>
      <c r="C28" s="5" t="str">
        <f>INDEX('Raw Data'!$C$2:$C$410,MATCH(A28,'Raw Data'!$B$2:$B$410,0))</f>
        <v>Lego Icons</v>
      </c>
      <c r="D28" s="7">
        <f>_xlfn.MINIFS('Raw Data'!$E$2:$E$410,'Raw Data'!$B$2:$B$410,A28)</f>
        <v>114.75</v>
      </c>
      <c r="E28" s="5" t="str">
        <f>INDEX('Raw Data'!$A$2:$A$410,MATCH(1,INDEX(('Raw Data'!$B$2:$B$410=A28)*('Raw Data'!$E$2:$E$410=D28),0),0))</f>
        <v>Brickmo</v>
      </c>
      <c r="F28" s="7">
        <f>_xlfn.MAXIFS('Raw Data'!$E$2:$E$410,'Raw Data'!$B$2:$B$410,A28)</f>
        <v>118.99</v>
      </c>
      <c r="G28" s="5" t="str">
        <f>INDEX('Raw Data'!$A$2:$A$410,MATCH(1,INDEX(('Raw Data'!$B$2:$B$410=A28)*('Raw Data'!$E$2:$E$410=F28),0),0))</f>
        <v>JB Spielwaren</v>
      </c>
      <c r="H28" s="7">
        <f t="shared" si="0"/>
        <v>4.2399999999999949</v>
      </c>
      <c r="I28" s="5">
        <f>COUNTIF('Raw Data'!$B$2:$B$410,A28)</f>
        <v>2</v>
      </c>
    </row>
    <row r="29" spans="1:9" x14ac:dyDescent="0.35">
      <c r="A29" s="5">
        <v>11382</v>
      </c>
      <c r="B29" s="6" t="str">
        <f>INDEX('Raw Data'!$D$2:$D$410,MATCH(A29,'Raw Data'!$B$2:$B$410,0))</f>
        <v>LEGO Icons 11382 Hubble Space Telescope 11382</v>
      </c>
      <c r="C29" s="5" t="str">
        <f>INDEX('Raw Data'!$C$2:$C$410,MATCH(A29,'Raw Data'!$B$2:$B$410,0))</f>
        <v>Lego Icons</v>
      </c>
      <c r="D29" s="7">
        <f>_xlfn.MINIFS('Raw Data'!$E$2:$E$410,'Raw Data'!$B$2:$B$410,A29)</f>
        <v>106.55</v>
      </c>
      <c r="E29" s="5" t="str">
        <f>INDEX('Raw Data'!$A$2:$A$410,MATCH(1,INDEX(('Raw Data'!$B$2:$B$410=A29)*('Raw Data'!$E$2:$E$410=D29),0),0))</f>
        <v>Brickmo</v>
      </c>
      <c r="F29" s="7">
        <f>_xlfn.MAXIFS('Raw Data'!$E$2:$E$410,'Raw Data'!$B$2:$B$410,A29)</f>
        <v>110.49</v>
      </c>
      <c r="G29" s="5" t="str">
        <f>INDEX('Raw Data'!$A$2:$A$410,MATCH(1,INDEX(('Raw Data'!$B$2:$B$410=A29)*('Raw Data'!$E$2:$E$410=F29),0),0))</f>
        <v>JB Spielwaren</v>
      </c>
      <c r="H29" s="7">
        <f t="shared" si="0"/>
        <v>3.9399999999999977</v>
      </c>
      <c r="I29" s="5">
        <f>COUNTIF('Raw Data'!$B$2:$B$410,A29)</f>
        <v>2</v>
      </c>
    </row>
    <row r="30" spans="1:9" x14ac:dyDescent="0.35">
      <c r="A30" s="5">
        <v>11383</v>
      </c>
      <c r="B30" s="6" t="str">
        <f>INDEX('Raw Data'!$D$2:$D$410,MATCH(A30,'Raw Data'!$B$2:$B$410,0))</f>
        <v>LEGO Icons 11383 Mayor Manor 11383</v>
      </c>
      <c r="C30" s="5" t="str">
        <f>INDEX('Raw Data'!$C$2:$C$410,MATCH(A30,'Raw Data'!$B$2:$B$410,0))</f>
        <v>Lego Icons</v>
      </c>
      <c r="D30" s="7">
        <f>_xlfn.MINIFS('Raw Data'!$E$2:$E$410,'Raw Data'!$B$2:$B$410,A30)</f>
        <v>90.46</v>
      </c>
      <c r="E30" s="5" t="str">
        <f>INDEX('Raw Data'!$A$2:$A$410,MATCH(1,INDEX(('Raw Data'!$B$2:$B$410=A30)*('Raw Data'!$E$2:$E$410=D30),0),0))</f>
        <v>Brickmo</v>
      </c>
      <c r="F30" s="7">
        <f>_xlfn.MAXIFS('Raw Data'!$E$2:$E$410,'Raw Data'!$B$2:$B$410,A30)</f>
        <v>93.49</v>
      </c>
      <c r="G30" s="5" t="str">
        <f>INDEX('Raw Data'!$A$2:$A$410,MATCH(1,INDEX(('Raw Data'!$B$2:$B$410=A30)*('Raw Data'!$E$2:$E$410=F30),0),0))</f>
        <v>JB Spielwaren</v>
      </c>
      <c r="H30" s="7">
        <f t="shared" si="0"/>
        <v>3.0300000000000011</v>
      </c>
      <c r="I30" s="5">
        <f>COUNTIF('Raw Data'!$B$2:$B$410,A30)</f>
        <v>2</v>
      </c>
    </row>
    <row r="31" spans="1:9" x14ac:dyDescent="0.35">
      <c r="A31" s="5">
        <v>11384</v>
      </c>
      <c r="B31" s="6" t="str">
        <f>INDEX('Raw Data'!$D$2:$D$410,MATCH(A31,'Raw Data'!$B$2:$B$410,0))</f>
        <v>LEGO Icons 11384 Golden Retriever Puppy 11384</v>
      </c>
      <c r="C31" s="5" t="str">
        <f>INDEX('Raw Data'!$C$2:$C$410,MATCH(A31,'Raw Data'!$B$2:$B$410,0))</f>
        <v>Lego Icons</v>
      </c>
      <c r="D31" s="7">
        <f>_xlfn.MINIFS('Raw Data'!$E$2:$E$410,'Raw Data'!$B$2:$B$410,A31)</f>
        <v>111.73</v>
      </c>
      <c r="E31" s="5" t="str">
        <f>INDEX('Raw Data'!$A$2:$A$410,MATCH(1,INDEX(('Raw Data'!$B$2:$B$410=A31)*('Raw Data'!$E$2:$E$410=D31),0),0))</f>
        <v>Brickmo</v>
      </c>
      <c r="F31" s="7">
        <f>_xlfn.MAXIFS('Raw Data'!$E$2:$E$410,'Raw Data'!$B$2:$B$410,A31)</f>
        <v>118.99</v>
      </c>
      <c r="G31" s="5" t="str">
        <f>INDEX('Raw Data'!$A$2:$A$410,MATCH(1,INDEX(('Raw Data'!$B$2:$B$410=A31)*('Raw Data'!$E$2:$E$410=F31),0),0))</f>
        <v>JB Spielwaren</v>
      </c>
      <c r="H31" s="7">
        <f t="shared" si="0"/>
        <v>7.2599999999999909</v>
      </c>
      <c r="I31" s="5">
        <f>COUNTIF('Raw Data'!$B$2:$B$410,A31)</f>
        <v>2</v>
      </c>
    </row>
    <row r="32" spans="1:9" hidden="1" x14ac:dyDescent="0.35">
      <c r="A32" s="5">
        <v>11386</v>
      </c>
      <c r="B32" s="6" t="str">
        <f>INDEX('Raw Data'!$D$2:$D$410,MATCH(A32,'Raw Data'!$B$2:$B$410,0))</f>
        <v>LEGO 11386 SpongeBob SquarePants: Bikini Bottom</v>
      </c>
      <c r="C32" s="5" t="str">
        <f>INDEX('Raw Data'!$C$2:$C$410,MATCH(A32,'Raw Data'!$B$2:$B$410,0))</f>
        <v>Lego Icons</v>
      </c>
      <c r="D32" s="7">
        <f>_xlfn.MINIFS('Raw Data'!$E$2:$E$410,'Raw Data'!$B$2:$B$410,A32)</f>
        <v>178.49</v>
      </c>
      <c r="E32" s="5" t="str">
        <f>INDEX('Raw Data'!$A$2:$A$410,MATCH(1,INDEX(('Raw Data'!$B$2:$B$410=A32)*('Raw Data'!$E$2:$E$410=D32),0),0))</f>
        <v>JB Spielwaren</v>
      </c>
      <c r="F32" s="7">
        <f>_xlfn.MAXIFS('Raw Data'!$E$2:$E$410,'Raw Data'!$B$2:$B$410,A32)</f>
        <v>178.49</v>
      </c>
      <c r="G32" s="5" t="str">
        <f>INDEX('Raw Data'!$A$2:$A$410,MATCH(1,INDEX(('Raw Data'!$B$2:$B$410=A32)*('Raw Data'!$E$2:$E$410=F32),0),0))</f>
        <v>JB Spielwaren</v>
      </c>
      <c r="H32" s="7">
        <f t="shared" si="0"/>
        <v>0</v>
      </c>
      <c r="I32" s="5">
        <f>COUNTIF('Raw Data'!$B$2:$B$410,A32)</f>
        <v>1</v>
      </c>
    </row>
    <row r="33" spans="1:9" hidden="1" x14ac:dyDescent="0.35">
      <c r="A33" s="5">
        <v>30728</v>
      </c>
      <c r="B33" s="6" t="str">
        <f>INDEX('Raw Data'!$D$2:$D$410,MATCH(A33,'Raw Data'!$B$2:$B$410,0))</f>
        <v>LEGO 30728 The Razor Crest™ Mini-Build</v>
      </c>
      <c r="C33" s="5" t="str">
        <f>INDEX('Raw Data'!$C$2:$C$410,MATCH(A33,'Raw Data'!$B$2:$B$410,0))</f>
        <v>Lego Star Wars</v>
      </c>
      <c r="D33" s="7">
        <f>_xlfn.MINIFS('Raw Data'!$E$2:$E$410,'Raw Data'!$B$2:$B$410,A33)</f>
        <v>3.19</v>
      </c>
      <c r="E33" s="5" t="str">
        <f>INDEX('Raw Data'!$A$2:$A$410,MATCH(1,INDEX(('Raw Data'!$B$2:$B$410=A33)*('Raw Data'!$E$2:$E$410=D33),0),0))</f>
        <v>JB Spielwaren</v>
      </c>
      <c r="F33" s="7">
        <f>_xlfn.MAXIFS('Raw Data'!$E$2:$E$410,'Raw Data'!$B$2:$B$410,A33)</f>
        <v>3.19</v>
      </c>
      <c r="G33" s="5" t="str">
        <f>INDEX('Raw Data'!$A$2:$A$410,MATCH(1,INDEX(('Raw Data'!$B$2:$B$410=A33)*('Raw Data'!$E$2:$E$410=F33),0),0))</f>
        <v>JB Spielwaren</v>
      </c>
      <c r="H33" s="7">
        <f t="shared" si="0"/>
        <v>0</v>
      </c>
      <c r="I33" s="5">
        <f>COUNTIF('Raw Data'!$B$2:$B$410,A33)</f>
        <v>1</v>
      </c>
    </row>
    <row r="34" spans="1:9" hidden="1" x14ac:dyDescent="0.35">
      <c r="A34" s="5">
        <v>40690</v>
      </c>
      <c r="B34" s="6" t="str">
        <f>INDEX('Raw Data'!$D$2:$D$410,MATCH(A34,'Raw Data'!$B$2:$B$410,0))</f>
        <v>LEGO 40690 Homage to the books of Jules Verne</v>
      </c>
      <c r="C34" s="5" t="str">
        <f>INDEX('Raw Data'!$C$2:$C$410,MATCH(A34,'Raw Data'!$B$2:$B$410,0))</f>
        <v>Lego Icons</v>
      </c>
      <c r="D34" s="7">
        <f>_xlfn.MINIFS('Raw Data'!$E$2:$E$410,'Raw Data'!$B$2:$B$410,A34)</f>
        <v>34.99</v>
      </c>
      <c r="E34" s="5" t="str">
        <f>INDEX('Raw Data'!$A$2:$A$410,MATCH(1,INDEX(('Raw Data'!$B$2:$B$410=A34)*('Raw Data'!$E$2:$E$410=D34),0),0))</f>
        <v>JB Spielwaren</v>
      </c>
      <c r="F34" s="7">
        <f>_xlfn.MAXIFS('Raw Data'!$E$2:$E$410,'Raw Data'!$B$2:$B$410,A34)</f>
        <v>34.99</v>
      </c>
      <c r="G34" s="5" t="str">
        <f>INDEX('Raw Data'!$A$2:$A$410,MATCH(1,INDEX(('Raw Data'!$B$2:$B$410=A34)*('Raw Data'!$E$2:$E$410=F34),0),0))</f>
        <v>JB Spielwaren</v>
      </c>
      <c r="H34" s="7">
        <f t="shared" si="0"/>
        <v>0</v>
      </c>
      <c r="I34" s="5">
        <f>COUNTIF('Raw Data'!$B$2:$B$410,A34)</f>
        <v>1</v>
      </c>
    </row>
    <row r="35" spans="1:9" hidden="1" x14ac:dyDescent="0.35">
      <c r="A35" s="5">
        <v>40721</v>
      </c>
      <c r="B35" s="6" t="str">
        <f>INDEX('Raw Data'!$D$2:$D$410,MATCH(A35,'Raw Data'!$B$2:$B$410,0))</f>
        <v>LEGO 40721 Halloween Barn</v>
      </c>
      <c r="C35" s="5" t="str">
        <f>INDEX('Raw Data'!$C$2:$C$410,MATCH(A35,'Raw Data'!$B$2:$B$410,0))</f>
        <v>Lego Icons</v>
      </c>
      <c r="D35" s="7">
        <f>_xlfn.MINIFS('Raw Data'!$E$2:$E$410,'Raw Data'!$B$2:$B$410,A35)</f>
        <v>11.99</v>
      </c>
      <c r="E35" s="5" t="str">
        <f>INDEX('Raw Data'!$A$2:$A$410,MATCH(1,INDEX(('Raw Data'!$B$2:$B$410=A35)*('Raw Data'!$E$2:$E$410=D35),0),0))</f>
        <v>JB Spielwaren</v>
      </c>
      <c r="F35" s="7">
        <f>_xlfn.MAXIFS('Raw Data'!$E$2:$E$410,'Raw Data'!$B$2:$B$410,A35)</f>
        <v>11.99</v>
      </c>
      <c r="G35" s="5" t="str">
        <f>INDEX('Raw Data'!$A$2:$A$410,MATCH(1,INDEX(('Raw Data'!$B$2:$B$410=A35)*('Raw Data'!$E$2:$E$410=F35),0),0))</f>
        <v>JB Spielwaren</v>
      </c>
      <c r="H35" s="7">
        <f t="shared" si="0"/>
        <v>0</v>
      </c>
      <c r="I35" s="5">
        <f>COUNTIF('Raw Data'!$B$2:$B$410,A35)</f>
        <v>1</v>
      </c>
    </row>
    <row r="36" spans="1:9" hidden="1" x14ac:dyDescent="0.35">
      <c r="A36" s="5">
        <v>40743</v>
      </c>
      <c r="B36" s="6" t="str">
        <f>INDEX('Raw Data'!$D$2:$D$410,MATCH(A36,'Raw Data'!$B$2:$B$410,0))</f>
        <v>LEGO 40743 Christmas Table Decoration</v>
      </c>
      <c r="C36" s="5" t="str">
        <f>INDEX('Raw Data'!$C$2:$C$410,MATCH(A36,'Raw Data'!$B$2:$B$410,0))</f>
        <v>Lego Icons</v>
      </c>
      <c r="D36" s="7">
        <f>_xlfn.MINIFS('Raw Data'!$E$2:$E$410,'Raw Data'!$B$2:$B$410,A36)</f>
        <v>33.99</v>
      </c>
      <c r="E36" s="5" t="str">
        <f>INDEX('Raw Data'!$A$2:$A$410,MATCH(1,INDEX(('Raw Data'!$B$2:$B$410=A36)*('Raw Data'!$E$2:$E$410=D36),0),0))</f>
        <v>JB Spielwaren</v>
      </c>
      <c r="F36" s="7">
        <f>_xlfn.MAXIFS('Raw Data'!$E$2:$E$410,'Raw Data'!$B$2:$B$410,A36)</f>
        <v>33.99</v>
      </c>
      <c r="G36" s="5" t="str">
        <f>INDEX('Raw Data'!$A$2:$A$410,MATCH(1,INDEX(('Raw Data'!$B$2:$B$410=A36)*('Raw Data'!$E$2:$E$410=F36),0),0))</f>
        <v>JB Spielwaren</v>
      </c>
      <c r="H36" s="7">
        <f t="shared" si="0"/>
        <v>0</v>
      </c>
      <c r="I36" s="5">
        <f>COUNTIF('Raw Data'!$B$2:$B$410,A36)</f>
        <v>1</v>
      </c>
    </row>
    <row r="37" spans="1:9" hidden="1" x14ac:dyDescent="0.35">
      <c r="A37" s="5">
        <v>40744</v>
      </c>
      <c r="B37" s="6" t="str">
        <f>INDEX('Raw Data'!$D$2:$D$410,MATCH(A37,'Raw Data'!$B$2:$B$410,0))</f>
        <v>LEGO 40744 Christmas Ornament Selection</v>
      </c>
      <c r="C37" s="5" t="str">
        <f>INDEX('Raw Data'!$C$2:$C$410,MATCH(A37,'Raw Data'!$B$2:$B$410,0))</f>
        <v>Lego Icons</v>
      </c>
      <c r="D37" s="7">
        <f>_xlfn.MINIFS('Raw Data'!$E$2:$E$410,'Raw Data'!$B$2:$B$410,A37)</f>
        <v>11.04</v>
      </c>
      <c r="E37" s="5" t="str">
        <f>INDEX('Raw Data'!$A$2:$A$410,MATCH(1,INDEX(('Raw Data'!$B$2:$B$410=A37)*('Raw Data'!$E$2:$E$410=D37),0),0))</f>
        <v>JB Spielwaren</v>
      </c>
      <c r="F37" s="7">
        <f>_xlfn.MAXIFS('Raw Data'!$E$2:$E$410,'Raw Data'!$B$2:$B$410,A37)</f>
        <v>11.04</v>
      </c>
      <c r="G37" s="5" t="str">
        <f>INDEX('Raw Data'!$A$2:$A$410,MATCH(1,INDEX(('Raw Data'!$B$2:$B$410=A37)*('Raw Data'!$E$2:$E$410=F37),0),0))</f>
        <v>JB Spielwaren</v>
      </c>
      <c r="H37" s="7">
        <f t="shared" si="0"/>
        <v>0</v>
      </c>
      <c r="I37" s="5">
        <f>COUNTIF('Raw Data'!$B$2:$B$410,A37)</f>
        <v>1</v>
      </c>
    </row>
    <row r="38" spans="1:9" hidden="1" x14ac:dyDescent="0.35">
      <c r="A38" s="5">
        <v>40755</v>
      </c>
      <c r="B38" s="6" t="str">
        <f>INDEX('Raw Data'!$D$2:$D$410,MATCH(A38,'Raw Data'!$B$2:$B$410,0))</f>
        <v>LEGO Star Wars 40755 Imperial Dropship vs....</v>
      </c>
      <c r="C38" s="5" t="str">
        <f>INDEX('Raw Data'!$C$2:$C$410,MATCH(A38,'Raw Data'!$B$2:$B$410,0))</f>
        <v>Lego Star Wars</v>
      </c>
      <c r="D38" s="7">
        <f>_xlfn.MINIFS('Raw Data'!$E$2:$E$410,'Raw Data'!$B$2:$B$410,A38)</f>
        <v>49.15</v>
      </c>
      <c r="E38" s="5" t="str">
        <f>INDEX('Raw Data'!$A$2:$A$410,MATCH(1,INDEX(('Raw Data'!$B$2:$B$410=A38)*('Raw Data'!$E$2:$E$410=D38),0),0))</f>
        <v>Brickmo</v>
      </c>
      <c r="F38" s="7">
        <f>_xlfn.MAXIFS('Raw Data'!$E$2:$E$410,'Raw Data'!$B$2:$B$410,A38)</f>
        <v>49.15</v>
      </c>
      <c r="G38" s="5" t="str">
        <f>INDEX('Raw Data'!$A$2:$A$410,MATCH(1,INDEX(('Raw Data'!$B$2:$B$410=A38)*('Raw Data'!$E$2:$E$410=F38),0),0))</f>
        <v>Brickmo</v>
      </c>
      <c r="H38" s="7">
        <f t="shared" si="0"/>
        <v>0</v>
      </c>
      <c r="I38" s="5">
        <f>COUNTIF('Raw Data'!$B$2:$B$410,A38)</f>
        <v>1</v>
      </c>
    </row>
    <row r="39" spans="1:9" hidden="1" x14ac:dyDescent="0.35">
      <c r="A39" s="5">
        <v>40771</v>
      </c>
      <c r="B39" s="6" t="str">
        <f>INDEX('Raw Data'!$D$2:$D$410,MATCH(A39,'Raw Data'!$B$2:$B$410,0))</f>
        <v>LEGO 40771 TIE Fighter with Imperial Hangar Rack</v>
      </c>
      <c r="C39" s="5" t="str">
        <f>INDEX('Raw Data'!$C$2:$C$410,MATCH(A39,'Raw Data'!$B$2:$B$410,0))</f>
        <v>Lego Star Wars</v>
      </c>
      <c r="D39" s="7">
        <f>_xlfn.MINIFS('Raw Data'!$E$2:$E$410,'Raw Data'!$B$2:$B$410,A39)</f>
        <v>159.99</v>
      </c>
      <c r="E39" s="5" t="str">
        <f>INDEX('Raw Data'!$A$2:$A$410,MATCH(1,INDEX(('Raw Data'!$B$2:$B$410=A39)*('Raw Data'!$E$2:$E$410=D39),0),0))</f>
        <v>JB Spielwaren</v>
      </c>
      <c r="F39" s="7">
        <f>_xlfn.MAXIFS('Raw Data'!$E$2:$E$410,'Raw Data'!$B$2:$B$410,A39)</f>
        <v>159.99</v>
      </c>
      <c r="G39" s="5" t="str">
        <f>INDEX('Raw Data'!$A$2:$A$410,MATCH(1,INDEX(('Raw Data'!$B$2:$B$410=A39)*('Raw Data'!$E$2:$E$410=F39),0),0))</f>
        <v>JB Spielwaren</v>
      </c>
      <c r="H39" s="7">
        <f t="shared" si="0"/>
        <v>0</v>
      </c>
      <c r="I39" s="5">
        <f>COUNTIF('Raw Data'!$B$2:$B$410,A39)</f>
        <v>1</v>
      </c>
    </row>
    <row r="40" spans="1:9" hidden="1" x14ac:dyDescent="0.35">
      <c r="A40" s="5">
        <v>40813</v>
      </c>
      <c r="B40" s="6" t="str">
        <f>INDEX('Raw Data'!$D$2:$D$410,MATCH(A40,'Raw Data'!$B$2:$B$410,0))</f>
        <v>LEGO 40813 Lucky Cat</v>
      </c>
      <c r="C40" s="5" t="str">
        <f>INDEX('Raw Data'!$C$2:$C$410,MATCH(A40,'Raw Data'!$B$2:$B$410,0))</f>
        <v>Lego Icons</v>
      </c>
      <c r="D40" s="7">
        <f>_xlfn.MINIFS('Raw Data'!$E$2:$E$410,'Raw Data'!$B$2:$B$410,A40)</f>
        <v>25.49</v>
      </c>
      <c r="E40" s="5" t="str">
        <f>INDEX('Raw Data'!$A$2:$A$410,MATCH(1,INDEX(('Raw Data'!$B$2:$B$410=A40)*('Raw Data'!$E$2:$E$410=D40),0),0))</f>
        <v>JB Spielwaren</v>
      </c>
      <c r="F40" s="7">
        <f>_xlfn.MAXIFS('Raw Data'!$E$2:$E$410,'Raw Data'!$B$2:$B$410,A40)</f>
        <v>25.49</v>
      </c>
      <c r="G40" s="5" t="str">
        <f>INDEX('Raw Data'!$A$2:$A$410,MATCH(1,INDEX(('Raw Data'!$B$2:$B$410=A40)*('Raw Data'!$E$2:$E$410=F40),0),0))</f>
        <v>JB Spielwaren</v>
      </c>
      <c r="H40" s="7">
        <f t="shared" si="0"/>
        <v>0</v>
      </c>
      <c r="I40" s="5">
        <f>COUNTIF('Raw Data'!$B$2:$B$410,A40)</f>
        <v>1</v>
      </c>
    </row>
    <row r="41" spans="1:9" hidden="1" x14ac:dyDescent="0.35">
      <c r="A41" s="5">
        <v>40814</v>
      </c>
      <c r="B41" s="6" t="str">
        <f>INDEX('Raw Data'!$D$2:$D$410,MATCH(A41,'Raw Data'!$B$2:$B$410,0))</f>
        <v>LEGO 40814 Baby Elephant in the Sky</v>
      </c>
      <c r="C41" s="5" t="str">
        <f>INDEX('Raw Data'!$C$2:$C$410,MATCH(A41,'Raw Data'!$B$2:$B$410,0))</f>
        <v>Lego Icons</v>
      </c>
      <c r="D41" s="7">
        <f>_xlfn.MINIFS('Raw Data'!$E$2:$E$410,'Raw Data'!$B$2:$B$410,A41)</f>
        <v>29.99</v>
      </c>
      <c r="E41" s="5" t="str">
        <f>INDEX('Raw Data'!$A$2:$A$410,MATCH(1,INDEX(('Raw Data'!$B$2:$B$410=A41)*('Raw Data'!$E$2:$E$410=D41),0),0))</f>
        <v>JB Spielwaren</v>
      </c>
      <c r="F41" s="7">
        <f>_xlfn.MAXIFS('Raw Data'!$E$2:$E$410,'Raw Data'!$B$2:$B$410,A41)</f>
        <v>29.99</v>
      </c>
      <c r="G41" s="5" t="str">
        <f>INDEX('Raw Data'!$A$2:$A$410,MATCH(1,INDEX(('Raw Data'!$B$2:$B$410=A41)*('Raw Data'!$E$2:$E$410=F41),0),0))</f>
        <v>JB Spielwaren</v>
      </c>
      <c r="H41" s="7">
        <f t="shared" si="0"/>
        <v>0</v>
      </c>
      <c r="I41" s="5">
        <f>COUNTIF('Raw Data'!$B$2:$B$410,A41)</f>
        <v>1</v>
      </c>
    </row>
    <row r="42" spans="1:9" hidden="1" x14ac:dyDescent="0.35">
      <c r="A42" s="5">
        <v>40821</v>
      </c>
      <c r="B42" s="6" t="str">
        <f>INDEX('Raw Data'!$D$2:$D$410,MATCH(A42,'Raw Data'!$B$2:$B$410,0))</f>
        <v>LEGO 40821 love bears</v>
      </c>
      <c r="C42" s="5" t="str">
        <f>INDEX('Raw Data'!$C$2:$C$410,MATCH(A42,'Raw Data'!$B$2:$B$410,0))</f>
        <v>Lego Icons</v>
      </c>
      <c r="D42" s="7">
        <f>_xlfn.MINIFS('Raw Data'!$E$2:$E$410,'Raw Data'!$B$2:$B$410,A42)</f>
        <v>14.99</v>
      </c>
      <c r="E42" s="5" t="str">
        <f>INDEX('Raw Data'!$A$2:$A$410,MATCH(1,INDEX(('Raw Data'!$B$2:$B$410=A42)*('Raw Data'!$E$2:$E$410=D42),0),0))</f>
        <v>JB Spielwaren</v>
      </c>
      <c r="F42" s="7">
        <f>_xlfn.MAXIFS('Raw Data'!$E$2:$E$410,'Raw Data'!$B$2:$B$410,A42)</f>
        <v>14.99</v>
      </c>
      <c r="G42" s="5" t="str">
        <f>INDEX('Raw Data'!$A$2:$A$410,MATCH(1,INDEX(('Raw Data'!$B$2:$B$410=A42)*('Raw Data'!$E$2:$E$410=F42),0),0))</f>
        <v>JB Spielwaren</v>
      </c>
      <c r="H42" s="7">
        <f t="shared" si="0"/>
        <v>0</v>
      </c>
      <c r="I42" s="5">
        <f>COUNTIF('Raw Data'!$B$2:$B$410,A42)</f>
        <v>1</v>
      </c>
    </row>
    <row r="43" spans="1:9" hidden="1" x14ac:dyDescent="0.35">
      <c r="A43" s="5">
        <v>40824</v>
      </c>
      <c r="B43" s="6" t="str">
        <f>INDEX('Raw Data'!$D$2:$D$410,MATCH(A43,'Raw Data'!$B$2:$B$410,0))</f>
        <v>LEGO 40824 Love messenger Tweety</v>
      </c>
      <c r="C43" s="5" t="str">
        <f>INDEX('Raw Data'!$C$2:$C$410,MATCH(A43,'Raw Data'!$B$2:$B$410,0))</f>
        <v>Lego Icons</v>
      </c>
      <c r="D43" s="7">
        <f>_xlfn.MINIFS('Raw Data'!$E$2:$E$410,'Raw Data'!$B$2:$B$410,A43)</f>
        <v>29.74</v>
      </c>
      <c r="E43" s="5" t="str">
        <f>INDEX('Raw Data'!$A$2:$A$410,MATCH(1,INDEX(('Raw Data'!$B$2:$B$410=A43)*('Raw Data'!$E$2:$E$410=D43),0),0))</f>
        <v>JB Spielwaren</v>
      </c>
      <c r="F43" s="7">
        <f>_xlfn.MAXIFS('Raw Data'!$E$2:$E$410,'Raw Data'!$B$2:$B$410,A43)</f>
        <v>29.74</v>
      </c>
      <c r="G43" s="5" t="str">
        <f>INDEX('Raw Data'!$A$2:$A$410,MATCH(1,INDEX(('Raw Data'!$B$2:$B$410=A43)*('Raw Data'!$E$2:$E$410=F43),0),0))</f>
        <v>JB Spielwaren</v>
      </c>
      <c r="H43" s="7">
        <f t="shared" si="0"/>
        <v>0</v>
      </c>
      <c r="I43" s="5">
        <f>COUNTIF('Raw Data'!$B$2:$B$410,A43)</f>
        <v>1</v>
      </c>
    </row>
    <row r="44" spans="1:9" hidden="1" x14ac:dyDescent="0.35">
      <c r="A44" s="5">
        <v>41713</v>
      </c>
      <c r="B44" s="6" t="str">
        <f>INDEX('Raw Data'!$D$2:$D$410,MATCH(A44,'Raw Data'!$B$2:$B$410,0))</f>
        <v>LEGO Friends 41713 Olivia´s Space Academy 41713</v>
      </c>
      <c r="C44" s="5" t="str">
        <f>INDEX('Raw Data'!$C$2:$C$410,MATCH(A44,'Raw Data'!$B$2:$B$410,0))</f>
        <v>Lego Friends</v>
      </c>
      <c r="D44" s="7">
        <f>_xlfn.MINIFS('Raw Data'!$E$2:$E$410,'Raw Data'!$B$2:$B$410,A44)</f>
        <v>71.7</v>
      </c>
      <c r="E44" s="5" t="str">
        <f>INDEX('Raw Data'!$A$2:$A$410,MATCH(1,INDEX(('Raw Data'!$B$2:$B$410=A44)*('Raw Data'!$E$2:$E$410=D44),0),0))</f>
        <v>Brickmo</v>
      </c>
      <c r="F44" s="7">
        <f>_xlfn.MAXIFS('Raw Data'!$E$2:$E$410,'Raw Data'!$B$2:$B$410,A44)</f>
        <v>71.7</v>
      </c>
      <c r="G44" s="5" t="str">
        <f>INDEX('Raw Data'!$A$2:$A$410,MATCH(1,INDEX(('Raw Data'!$B$2:$B$410=A44)*('Raw Data'!$E$2:$E$410=F44),0),0))</f>
        <v>Brickmo</v>
      </c>
      <c r="H44" s="7">
        <f t="shared" si="0"/>
        <v>0</v>
      </c>
      <c r="I44" s="5">
        <f>COUNTIF('Raw Data'!$B$2:$B$410,A44)</f>
        <v>1</v>
      </c>
    </row>
    <row r="45" spans="1:9" hidden="1" x14ac:dyDescent="0.35">
      <c r="A45" s="5">
        <v>42635</v>
      </c>
      <c r="B45" s="6" t="str">
        <f>INDEX('Raw Data'!$D$2:$D$410,MATCH(A45,'Raw Data'!$B$2:$B$410,0))</f>
        <v>LEGO 42635 Dog-Grooming Car</v>
      </c>
      <c r="C45" s="5" t="str">
        <f>INDEX('Raw Data'!$C$2:$C$410,MATCH(A45,'Raw Data'!$B$2:$B$410,0))</f>
        <v>Lego Friends</v>
      </c>
      <c r="D45" s="7">
        <f>_xlfn.MINIFS('Raw Data'!$E$2:$E$410,'Raw Data'!$B$2:$B$410,A45)</f>
        <v>11.04</v>
      </c>
      <c r="E45" s="5" t="str">
        <f>INDEX('Raw Data'!$A$2:$A$410,MATCH(1,INDEX(('Raw Data'!$B$2:$B$410=A45)*('Raw Data'!$E$2:$E$410=D45),0),0))</f>
        <v>bricksdirect</v>
      </c>
      <c r="F45" s="7">
        <f>_xlfn.MAXIFS('Raw Data'!$E$2:$E$410,'Raw Data'!$B$2:$B$410,A45)</f>
        <v>11.04</v>
      </c>
      <c r="G45" s="5" t="str">
        <f>INDEX('Raw Data'!$A$2:$A$410,MATCH(1,INDEX(('Raw Data'!$B$2:$B$410=A45)*('Raw Data'!$E$2:$E$410=F45),0),0))</f>
        <v>bricksdirect</v>
      </c>
      <c r="H45" s="7">
        <f t="shared" si="0"/>
        <v>0</v>
      </c>
      <c r="I45" s="5">
        <f>COUNTIF('Raw Data'!$B$2:$B$410,A45)</f>
        <v>1</v>
      </c>
    </row>
    <row r="46" spans="1:9" hidden="1" x14ac:dyDescent="0.35">
      <c r="A46" s="5">
        <v>42638</v>
      </c>
      <c r="B46" s="6" t="str">
        <f>INDEX('Raw Data'!$D$2:$D$410,MATCH(A46,'Raw Data'!$B$2:$B$410,0))</f>
        <v>LEGO 42638 Castle Bed and Breakfast</v>
      </c>
      <c r="C46" s="5" t="str">
        <f>INDEX('Raw Data'!$C$2:$C$410,MATCH(A46,'Raw Data'!$B$2:$B$410,0))</f>
        <v>Lego Friends</v>
      </c>
      <c r="D46" s="7">
        <f>_xlfn.MINIFS('Raw Data'!$E$2:$E$410,'Raw Data'!$B$2:$B$410,A46)</f>
        <v>132.65</v>
      </c>
      <c r="E46" s="5" t="str">
        <f>INDEX('Raw Data'!$A$2:$A$410,MATCH(1,INDEX(('Raw Data'!$B$2:$B$410=A46)*('Raw Data'!$E$2:$E$410=D46),0),0))</f>
        <v>bricksdirect</v>
      </c>
      <c r="F46" s="7">
        <f>_xlfn.MAXIFS('Raw Data'!$E$2:$E$410,'Raw Data'!$B$2:$B$410,A46)</f>
        <v>132.65</v>
      </c>
      <c r="G46" s="5" t="str">
        <f>INDEX('Raw Data'!$A$2:$A$410,MATCH(1,INDEX(('Raw Data'!$B$2:$B$410=A46)*('Raw Data'!$E$2:$E$410=F46),0),0))</f>
        <v>bricksdirect</v>
      </c>
      <c r="H46" s="7">
        <f t="shared" si="0"/>
        <v>0</v>
      </c>
      <c r="I46" s="5">
        <f>COUNTIF('Raw Data'!$B$2:$B$410,A46)</f>
        <v>1</v>
      </c>
    </row>
    <row r="47" spans="1:9" hidden="1" x14ac:dyDescent="0.35">
      <c r="A47" s="5">
        <v>42641</v>
      </c>
      <c r="B47" s="6" t="str">
        <f>INDEX('Raw Data'!$D$2:$D$410,MATCH(A47,'Raw Data'!$B$2:$B$410,0))</f>
        <v>LEGO 42641 Surfing Dogs and Scooter Adventure</v>
      </c>
      <c r="C47" s="5" t="str">
        <f>INDEX('Raw Data'!$C$2:$C$410,MATCH(A47,'Raw Data'!$B$2:$B$410,0))</f>
        <v>Lego Friends</v>
      </c>
      <c r="D47" s="7">
        <f>_xlfn.MINIFS('Raw Data'!$E$2:$E$410,'Raw Data'!$B$2:$B$410,A47)</f>
        <v>16.57</v>
      </c>
      <c r="E47" s="5" t="str">
        <f>INDEX('Raw Data'!$A$2:$A$410,MATCH(1,INDEX(('Raw Data'!$B$2:$B$410=A47)*('Raw Data'!$E$2:$E$410=D47),0),0))</f>
        <v>bricksdirect</v>
      </c>
      <c r="F47" s="7">
        <f>_xlfn.MAXIFS('Raw Data'!$E$2:$E$410,'Raw Data'!$B$2:$B$410,A47)</f>
        <v>16.57</v>
      </c>
      <c r="G47" s="5" t="str">
        <f>INDEX('Raw Data'!$A$2:$A$410,MATCH(1,INDEX(('Raw Data'!$B$2:$B$410=A47)*('Raw Data'!$E$2:$E$410=F47),0),0))</f>
        <v>bricksdirect</v>
      </c>
      <c r="H47" s="7">
        <f t="shared" si="0"/>
        <v>0</v>
      </c>
      <c r="I47" s="5">
        <f>COUNTIF('Raw Data'!$B$2:$B$410,A47)</f>
        <v>1</v>
      </c>
    </row>
    <row r="48" spans="1:9" hidden="1" x14ac:dyDescent="0.35">
      <c r="A48" s="5">
        <v>42642</v>
      </c>
      <c r="B48" s="6" t="str">
        <f>INDEX('Raw Data'!$D$2:$D$410,MATCH(A48,'Raw Data'!$B$2:$B$410,0))</f>
        <v>LEGO 42642 Friendship Movie Night</v>
      </c>
      <c r="C48" s="5" t="str">
        <f>INDEX('Raw Data'!$C$2:$C$410,MATCH(A48,'Raw Data'!$B$2:$B$410,0))</f>
        <v>Lego Friends</v>
      </c>
      <c r="D48" s="7">
        <f>_xlfn.MINIFS('Raw Data'!$E$2:$E$410,'Raw Data'!$B$2:$B$410,A48)</f>
        <v>16.57</v>
      </c>
      <c r="E48" s="5" t="str">
        <f>INDEX('Raw Data'!$A$2:$A$410,MATCH(1,INDEX(('Raw Data'!$B$2:$B$410=A48)*('Raw Data'!$E$2:$E$410=D48),0),0))</f>
        <v>bricksdirect</v>
      </c>
      <c r="F48" s="7">
        <f>_xlfn.MAXIFS('Raw Data'!$E$2:$E$410,'Raw Data'!$B$2:$B$410,A48)</f>
        <v>16.57</v>
      </c>
      <c r="G48" s="5" t="str">
        <f>INDEX('Raw Data'!$A$2:$A$410,MATCH(1,INDEX(('Raw Data'!$B$2:$B$410=A48)*('Raw Data'!$E$2:$E$410=F48),0),0))</f>
        <v>bricksdirect</v>
      </c>
      <c r="H48" s="7">
        <f t="shared" si="0"/>
        <v>0</v>
      </c>
      <c r="I48" s="5">
        <f>COUNTIF('Raw Data'!$B$2:$B$410,A48)</f>
        <v>1</v>
      </c>
    </row>
    <row r="49" spans="1:9" hidden="1" x14ac:dyDescent="0.35">
      <c r="A49" s="5">
        <v>42644</v>
      </c>
      <c r="B49" s="6" t="str">
        <f>INDEX('Raw Data'!$D$2:$D$410,MATCH(A49,'Raw Data'!$B$2:$B$410,0))</f>
        <v>LEGO 42644 Heartlake City Ice Cream Truck</v>
      </c>
      <c r="C49" s="5" t="str">
        <f>INDEX('Raw Data'!$C$2:$C$410,MATCH(A49,'Raw Data'!$B$2:$B$410,0))</f>
        <v>Lego Friends</v>
      </c>
      <c r="D49" s="7">
        <f>_xlfn.MINIFS('Raw Data'!$E$2:$E$410,'Raw Data'!$B$2:$B$410,A49)</f>
        <v>17.68</v>
      </c>
      <c r="E49" s="5" t="str">
        <f>INDEX('Raw Data'!$A$2:$A$410,MATCH(1,INDEX(('Raw Data'!$B$2:$B$410=A49)*('Raw Data'!$E$2:$E$410=D49),0),0))</f>
        <v>bricksdirect</v>
      </c>
      <c r="F49" s="7">
        <f>_xlfn.MAXIFS('Raw Data'!$E$2:$E$410,'Raw Data'!$B$2:$B$410,A49)</f>
        <v>17.68</v>
      </c>
      <c r="G49" s="5" t="str">
        <f>INDEX('Raw Data'!$A$2:$A$410,MATCH(1,INDEX(('Raw Data'!$B$2:$B$410=A49)*('Raw Data'!$E$2:$E$410=F49),0),0))</f>
        <v>bricksdirect</v>
      </c>
      <c r="H49" s="7">
        <f t="shared" si="0"/>
        <v>0</v>
      </c>
      <c r="I49" s="5">
        <f>COUNTIF('Raw Data'!$B$2:$B$410,A49)</f>
        <v>1</v>
      </c>
    </row>
    <row r="50" spans="1:9" hidden="1" x14ac:dyDescent="0.35">
      <c r="A50" s="5">
        <v>42646</v>
      </c>
      <c r="B50" s="6" t="str">
        <f>INDEX('Raw Data'!$D$2:$D$410,MATCH(A50,'Raw Data'!$B$2:$B$410,0))</f>
        <v>LEGO 42646 Autumn’s Room</v>
      </c>
      <c r="C50" s="5" t="str">
        <f>INDEX('Raw Data'!$C$2:$C$410,MATCH(A50,'Raw Data'!$B$2:$B$410,0))</f>
        <v>Lego Friends</v>
      </c>
      <c r="D50" s="7">
        <f>_xlfn.MINIFS('Raw Data'!$E$2:$E$410,'Raw Data'!$B$2:$B$410,A50)</f>
        <v>22.1</v>
      </c>
      <c r="E50" s="5" t="str">
        <f>INDEX('Raw Data'!$A$2:$A$410,MATCH(1,INDEX(('Raw Data'!$B$2:$B$410=A50)*('Raw Data'!$E$2:$E$410=D50),0),0))</f>
        <v>bricksdirect</v>
      </c>
      <c r="F50" s="7">
        <f>_xlfn.MAXIFS('Raw Data'!$E$2:$E$410,'Raw Data'!$B$2:$B$410,A50)</f>
        <v>22.1</v>
      </c>
      <c r="G50" s="5" t="str">
        <f>INDEX('Raw Data'!$A$2:$A$410,MATCH(1,INDEX(('Raw Data'!$B$2:$B$410=A50)*('Raw Data'!$E$2:$E$410=F50),0),0))</f>
        <v>bricksdirect</v>
      </c>
      <c r="H50" s="7">
        <f t="shared" si="0"/>
        <v>0</v>
      </c>
      <c r="I50" s="5">
        <f>COUNTIF('Raw Data'!$B$2:$B$410,A50)</f>
        <v>1</v>
      </c>
    </row>
    <row r="51" spans="1:9" x14ac:dyDescent="0.35">
      <c r="A51" s="5">
        <v>42647</v>
      </c>
      <c r="B51" s="6" t="str">
        <f>INDEX('Raw Data'!$D$2:$D$410,MATCH(A51,'Raw Data'!$B$2:$B$410,0))</f>
        <v>LEGO Friends 42647 Paisley's Room 42647</v>
      </c>
      <c r="C51" s="5" t="str">
        <f>INDEX('Raw Data'!$C$2:$C$410,MATCH(A51,'Raw Data'!$B$2:$B$410,0))</f>
        <v>Lego Friends</v>
      </c>
      <c r="D51" s="7">
        <f>_xlfn.MINIFS('Raw Data'!$E$2:$E$410,'Raw Data'!$B$2:$B$410,A51)</f>
        <v>20.45</v>
      </c>
      <c r="E51" s="5" t="str">
        <f>INDEX('Raw Data'!$A$2:$A$410,MATCH(1,INDEX(('Raw Data'!$B$2:$B$410=A51)*('Raw Data'!$E$2:$E$410=D51),0),0))</f>
        <v>Brickmo</v>
      </c>
      <c r="F51" s="7">
        <f>_xlfn.MAXIFS('Raw Data'!$E$2:$E$410,'Raw Data'!$B$2:$B$410,A51)</f>
        <v>22.1</v>
      </c>
      <c r="G51" s="5" t="str">
        <f>INDEX('Raw Data'!$A$2:$A$410,MATCH(1,INDEX(('Raw Data'!$B$2:$B$410=A51)*('Raw Data'!$E$2:$E$410=F51),0),0))</f>
        <v>bricksdirect</v>
      </c>
      <c r="H51" s="7">
        <f t="shared" si="0"/>
        <v>1.6500000000000021</v>
      </c>
      <c r="I51" s="5">
        <f>COUNTIF('Raw Data'!$B$2:$B$410,A51)</f>
        <v>2</v>
      </c>
    </row>
    <row r="52" spans="1:9" x14ac:dyDescent="0.35">
      <c r="A52" s="5">
        <v>42648</v>
      </c>
      <c r="B52" s="6" t="str">
        <f>INDEX('Raw Data'!$D$2:$D$410,MATCH(A52,'Raw Data'!$B$2:$B$410,0))</f>
        <v>LEGO Friends 42648 Panda Sanctuary Animal Care...</v>
      </c>
      <c r="C52" s="5" t="str">
        <f>INDEX('Raw Data'!$C$2:$C$410,MATCH(A52,'Raw Data'!$B$2:$B$410,0))</f>
        <v>Lego Friends</v>
      </c>
      <c r="D52" s="7">
        <f>_xlfn.MINIFS('Raw Data'!$E$2:$E$410,'Raw Data'!$B$2:$B$410,A52)</f>
        <v>23.52</v>
      </c>
      <c r="E52" s="5" t="str">
        <f>INDEX('Raw Data'!$A$2:$A$410,MATCH(1,INDEX(('Raw Data'!$B$2:$B$410=A52)*('Raw Data'!$E$2:$E$410=D52),0),0))</f>
        <v>Brickmo</v>
      </c>
      <c r="F52" s="7">
        <f>_xlfn.MAXIFS('Raw Data'!$E$2:$E$410,'Raw Data'!$B$2:$B$410,A52)</f>
        <v>33.15</v>
      </c>
      <c r="G52" s="5" t="str">
        <f>INDEX('Raw Data'!$A$2:$A$410,MATCH(1,INDEX(('Raw Data'!$B$2:$B$410=A52)*('Raw Data'!$E$2:$E$410=F52),0),0))</f>
        <v>bricksdirect</v>
      </c>
      <c r="H52" s="7">
        <f t="shared" si="0"/>
        <v>9.629999999999999</v>
      </c>
      <c r="I52" s="5">
        <f>COUNTIF('Raw Data'!$B$2:$B$410,A52)</f>
        <v>2</v>
      </c>
    </row>
    <row r="53" spans="1:9" hidden="1" x14ac:dyDescent="0.35">
      <c r="A53" s="5">
        <v>42649</v>
      </c>
      <c r="B53" s="6" t="str">
        <f>INDEX('Raw Data'!$D$2:$D$410,MATCH(A53,'Raw Data'!$B$2:$B$410,0))</f>
        <v>LEGO 42649 Heartlake City Candy Store</v>
      </c>
      <c r="C53" s="5" t="str">
        <f>INDEX('Raw Data'!$C$2:$C$410,MATCH(A53,'Raw Data'!$B$2:$B$410,0))</f>
        <v>Lego Friends</v>
      </c>
      <c r="D53" s="7">
        <f>_xlfn.MINIFS('Raw Data'!$E$2:$E$410,'Raw Data'!$B$2:$B$410,A53)</f>
        <v>26.52</v>
      </c>
      <c r="E53" s="5" t="str">
        <f>INDEX('Raw Data'!$A$2:$A$410,MATCH(1,INDEX(('Raw Data'!$B$2:$B$410=A53)*('Raw Data'!$E$2:$E$410=D53),0),0))</f>
        <v>bricksdirect</v>
      </c>
      <c r="F53" s="7">
        <f>_xlfn.MAXIFS('Raw Data'!$E$2:$E$410,'Raw Data'!$B$2:$B$410,A53)</f>
        <v>26.52</v>
      </c>
      <c r="G53" s="5" t="str">
        <f>INDEX('Raw Data'!$A$2:$A$410,MATCH(1,INDEX(('Raw Data'!$B$2:$B$410=A53)*('Raw Data'!$E$2:$E$410=F53),0),0))</f>
        <v>bricksdirect</v>
      </c>
      <c r="H53" s="7">
        <f t="shared" si="0"/>
        <v>0</v>
      </c>
      <c r="I53" s="5">
        <f>COUNTIF('Raw Data'!$B$2:$B$410,A53)</f>
        <v>1</v>
      </c>
    </row>
    <row r="54" spans="1:9" hidden="1" x14ac:dyDescent="0.35">
      <c r="A54" s="5">
        <v>42650</v>
      </c>
      <c r="B54" s="6" t="str">
        <f>INDEX('Raw Data'!$D$2:$D$410,MATCH(A54,'Raw Data'!$B$2:$B$410,0))</f>
        <v>LEGO 42650 Pet Accessories Shop</v>
      </c>
      <c r="C54" s="5" t="str">
        <f>INDEX('Raw Data'!$C$2:$C$410,MATCH(A54,'Raw Data'!$B$2:$B$410,0))</f>
        <v>Lego Friends</v>
      </c>
      <c r="D54" s="7">
        <f>_xlfn.MINIFS('Raw Data'!$E$2:$E$410,'Raw Data'!$B$2:$B$410,A54)</f>
        <v>35.36</v>
      </c>
      <c r="E54" s="5" t="str">
        <f>INDEX('Raw Data'!$A$2:$A$410,MATCH(1,INDEX(('Raw Data'!$B$2:$B$410=A54)*('Raw Data'!$E$2:$E$410=D54),0),0))</f>
        <v>bricksdirect</v>
      </c>
      <c r="F54" s="7">
        <f>_xlfn.MAXIFS('Raw Data'!$E$2:$E$410,'Raw Data'!$B$2:$B$410,A54)</f>
        <v>35.36</v>
      </c>
      <c r="G54" s="5" t="str">
        <f>INDEX('Raw Data'!$A$2:$A$410,MATCH(1,INDEX(('Raw Data'!$B$2:$B$410=A54)*('Raw Data'!$E$2:$E$410=F54),0),0))</f>
        <v>bricksdirect</v>
      </c>
      <c r="H54" s="7">
        <f t="shared" si="0"/>
        <v>0</v>
      </c>
      <c r="I54" s="5">
        <f>COUNTIF('Raw Data'!$B$2:$B$410,A54)</f>
        <v>1</v>
      </c>
    </row>
    <row r="55" spans="1:9" hidden="1" x14ac:dyDescent="0.35">
      <c r="A55" s="5">
        <v>42651</v>
      </c>
      <c r="B55" s="6" t="str">
        <f>INDEX('Raw Data'!$D$2:$D$410,MATCH(A55,'Raw Data'!$B$2:$B$410,0))</f>
        <v>LEGO 42651 Horse and Pet Vet Clinic</v>
      </c>
      <c r="C55" s="5" t="str">
        <f>INDEX('Raw Data'!$C$2:$C$410,MATCH(A55,'Raw Data'!$B$2:$B$410,0))</f>
        <v>Lego Friends</v>
      </c>
      <c r="D55" s="7">
        <f>_xlfn.MINIFS('Raw Data'!$E$2:$E$410,'Raw Data'!$B$2:$B$410,A55)</f>
        <v>66.319999999999993</v>
      </c>
      <c r="E55" s="5" t="str">
        <f>INDEX('Raw Data'!$A$2:$A$410,MATCH(1,INDEX(('Raw Data'!$B$2:$B$410=A55)*('Raw Data'!$E$2:$E$410=D55),0),0))</f>
        <v>bricksdirect</v>
      </c>
      <c r="F55" s="7">
        <f>_xlfn.MAXIFS('Raw Data'!$E$2:$E$410,'Raw Data'!$B$2:$B$410,A55)</f>
        <v>66.319999999999993</v>
      </c>
      <c r="G55" s="5" t="str">
        <f>INDEX('Raw Data'!$A$2:$A$410,MATCH(1,INDEX(('Raw Data'!$B$2:$B$410=A55)*('Raw Data'!$E$2:$E$410=F55),0),0))</f>
        <v>bricksdirect</v>
      </c>
      <c r="H55" s="7">
        <f t="shared" si="0"/>
        <v>0</v>
      </c>
      <c r="I55" s="5">
        <f>COUNTIF('Raw Data'!$B$2:$B$410,A55)</f>
        <v>1</v>
      </c>
    </row>
    <row r="56" spans="1:9" x14ac:dyDescent="0.35">
      <c r="A56" s="5">
        <v>42652</v>
      </c>
      <c r="B56" s="6" t="str">
        <f>INDEX('Raw Data'!$D$2:$D$410,MATCH(A56,'Raw Data'!$B$2:$B$410,0))</f>
        <v>LEGO Friends 42652 Friendship Tree House...</v>
      </c>
      <c r="C56" s="5" t="str">
        <f>INDEX('Raw Data'!$C$2:$C$410,MATCH(A56,'Raw Data'!$B$2:$B$410,0))</f>
        <v>Lego Friends</v>
      </c>
      <c r="D56" s="7">
        <f>_xlfn.MINIFS('Raw Data'!$E$2:$E$410,'Raw Data'!$B$2:$B$410,A56)</f>
        <v>61.45</v>
      </c>
      <c r="E56" s="5" t="str">
        <f>INDEX('Raw Data'!$A$2:$A$410,MATCH(1,INDEX(('Raw Data'!$B$2:$B$410=A56)*('Raw Data'!$E$2:$E$410=D56),0),0))</f>
        <v>Brickmo</v>
      </c>
      <c r="F56" s="7">
        <f>_xlfn.MAXIFS('Raw Data'!$E$2:$E$410,'Raw Data'!$B$2:$B$410,A56)</f>
        <v>77.37</v>
      </c>
      <c r="G56" s="5" t="str">
        <f>INDEX('Raw Data'!$A$2:$A$410,MATCH(1,INDEX(('Raw Data'!$B$2:$B$410=A56)*('Raw Data'!$E$2:$E$410=F56),0),0))</f>
        <v>bricksdirect</v>
      </c>
      <c r="H56" s="7">
        <f t="shared" si="0"/>
        <v>15.920000000000002</v>
      </c>
      <c r="I56" s="5">
        <f>COUNTIF('Raw Data'!$B$2:$B$410,A56)</f>
        <v>2</v>
      </c>
    </row>
    <row r="57" spans="1:9" hidden="1" x14ac:dyDescent="0.35">
      <c r="A57" s="5">
        <v>42653</v>
      </c>
      <c r="B57" s="6" t="str">
        <f>INDEX('Raw Data'!$D$2:$D$410,MATCH(A57,'Raw Data'!$B$2:$B$410,0))</f>
        <v>LEGO 42653 Music Store &amp; Apartment</v>
      </c>
      <c r="C57" s="5" t="str">
        <f>INDEX('Raw Data'!$C$2:$C$410,MATCH(A57,'Raw Data'!$B$2:$B$410,0))</f>
        <v>Lego Friends</v>
      </c>
      <c r="D57" s="7">
        <f>_xlfn.MINIFS('Raw Data'!$E$2:$E$410,'Raw Data'!$B$2:$B$410,A57)</f>
        <v>55.26</v>
      </c>
      <c r="E57" s="5" t="str">
        <f>INDEX('Raw Data'!$A$2:$A$410,MATCH(1,INDEX(('Raw Data'!$B$2:$B$410=A57)*('Raw Data'!$E$2:$E$410=D57),0),0))</f>
        <v>bricksdirect</v>
      </c>
      <c r="F57" s="7">
        <f>_xlfn.MAXIFS('Raw Data'!$E$2:$E$410,'Raw Data'!$B$2:$B$410,A57)</f>
        <v>55.26</v>
      </c>
      <c r="G57" s="5" t="str">
        <f>INDEX('Raw Data'!$A$2:$A$410,MATCH(1,INDEX(('Raw Data'!$B$2:$B$410=A57)*('Raw Data'!$E$2:$E$410=F57),0),0))</f>
        <v>bricksdirect</v>
      </c>
      <c r="H57" s="7">
        <f t="shared" si="0"/>
        <v>0</v>
      </c>
      <c r="I57" s="5">
        <f>COUNTIF('Raw Data'!$B$2:$B$410,A57)</f>
        <v>1</v>
      </c>
    </row>
    <row r="58" spans="1:9" hidden="1" x14ac:dyDescent="0.35">
      <c r="A58" s="5">
        <v>42654</v>
      </c>
      <c r="B58" s="6" t="str">
        <f>INDEX('Raw Data'!$D$2:$D$410,MATCH(A58,'Raw Data'!$B$2:$B$410,0))</f>
        <v>LEGO 42654 Pony Ranch &amp; Stable</v>
      </c>
      <c r="C58" s="5" t="str">
        <f>INDEX('Raw Data'!$C$2:$C$410,MATCH(A58,'Raw Data'!$B$2:$B$410,0))</f>
        <v>Lego Friends</v>
      </c>
      <c r="D58" s="7">
        <f>_xlfn.MINIFS('Raw Data'!$E$2:$E$410,'Raw Data'!$B$2:$B$410,A58)</f>
        <v>77.37</v>
      </c>
      <c r="E58" s="5" t="str">
        <f>INDEX('Raw Data'!$A$2:$A$410,MATCH(1,INDEX(('Raw Data'!$B$2:$B$410=A58)*('Raw Data'!$E$2:$E$410=D58),0),0))</f>
        <v>bricksdirect</v>
      </c>
      <c r="F58" s="7">
        <f>_xlfn.MAXIFS('Raw Data'!$E$2:$E$410,'Raw Data'!$B$2:$B$410,A58)</f>
        <v>77.37</v>
      </c>
      <c r="G58" s="5" t="str">
        <f>INDEX('Raw Data'!$A$2:$A$410,MATCH(1,INDEX(('Raw Data'!$B$2:$B$410=A58)*('Raw Data'!$E$2:$E$410=F58),0),0))</f>
        <v>bricksdirect</v>
      </c>
      <c r="H58" s="7">
        <f t="shared" si="0"/>
        <v>0</v>
      </c>
      <c r="I58" s="5">
        <f>COUNTIF('Raw Data'!$B$2:$B$410,A58)</f>
        <v>1</v>
      </c>
    </row>
    <row r="59" spans="1:9" hidden="1" x14ac:dyDescent="0.35">
      <c r="A59" s="5">
        <v>42658</v>
      </c>
      <c r="B59" s="6" t="str">
        <f>INDEX('Raw Data'!$D$2:$D$410,MATCH(A59,'Raw Data'!$B$2:$B$410,0))</f>
        <v>LEGO 42658 Unicorn &amp; Flamingo Pool Party</v>
      </c>
      <c r="C59" s="5" t="str">
        <f>INDEX('Raw Data'!$C$2:$C$410,MATCH(A59,'Raw Data'!$B$2:$B$410,0))</f>
        <v>Lego Friends</v>
      </c>
      <c r="D59" s="7">
        <f>_xlfn.MINIFS('Raw Data'!$E$2:$E$410,'Raw Data'!$B$2:$B$410,A59)</f>
        <v>11.04</v>
      </c>
      <c r="E59" s="5" t="str">
        <f>INDEX('Raw Data'!$A$2:$A$410,MATCH(1,INDEX(('Raw Data'!$B$2:$B$410=A59)*('Raw Data'!$E$2:$E$410=D59),0),0))</f>
        <v>bricksdirect</v>
      </c>
      <c r="F59" s="7">
        <f>_xlfn.MAXIFS('Raw Data'!$E$2:$E$410,'Raw Data'!$B$2:$B$410,A59)</f>
        <v>11.04</v>
      </c>
      <c r="G59" s="5" t="str">
        <f>INDEX('Raw Data'!$A$2:$A$410,MATCH(1,INDEX(('Raw Data'!$B$2:$B$410=A59)*('Raw Data'!$E$2:$E$410=F59),0),0))</f>
        <v>bricksdirect</v>
      </c>
      <c r="H59" s="7">
        <f t="shared" si="0"/>
        <v>0</v>
      </c>
      <c r="I59" s="5">
        <f>COUNTIF('Raw Data'!$B$2:$B$410,A59)</f>
        <v>1</v>
      </c>
    </row>
    <row r="60" spans="1:9" x14ac:dyDescent="0.35">
      <c r="A60" s="5">
        <v>42659</v>
      </c>
      <c r="B60" s="6" t="str">
        <f>INDEX('Raw Data'!$D$2:$D$410,MATCH(A60,'Raw Data'!$B$2:$B$410,0))</f>
        <v>LEGO Friends 42659 Friendship Road-Trip Travel...</v>
      </c>
      <c r="C60" s="5" t="str">
        <f>INDEX('Raw Data'!$C$2:$C$410,MATCH(A60,'Raw Data'!$B$2:$B$410,0))</f>
        <v>Lego Friends</v>
      </c>
      <c r="D60" s="7">
        <f>_xlfn.MINIFS('Raw Data'!$E$2:$E$410,'Raw Data'!$B$2:$B$410,A60)</f>
        <v>16.350000000000001</v>
      </c>
      <c r="E60" s="5" t="str">
        <f>INDEX('Raw Data'!$A$2:$A$410,MATCH(1,INDEX(('Raw Data'!$B$2:$B$410=A60)*('Raw Data'!$E$2:$E$410=D60),0),0))</f>
        <v>Brickmo</v>
      </c>
      <c r="F60" s="7">
        <f>_xlfn.MAXIFS('Raw Data'!$E$2:$E$410,'Raw Data'!$B$2:$B$410,A60)</f>
        <v>17.68</v>
      </c>
      <c r="G60" s="5" t="str">
        <f>INDEX('Raw Data'!$A$2:$A$410,MATCH(1,INDEX(('Raw Data'!$B$2:$B$410=A60)*('Raw Data'!$E$2:$E$410=F60),0),0))</f>
        <v>bricksdirect</v>
      </c>
      <c r="H60" s="7">
        <f t="shared" si="0"/>
        <v>1.3299999999999983</v>
      </c>
      <c r="I60" s="5">
        <f>COUNTIF('Raw Data'!$B$2:$B$410,A60)</f>
        <v>2</v>
      </c>
    </row>
    <row r="61" spans="1:9" hidden="1" x14ac:dyDescent="0.35">
      <c r="A61" s="5">
        <v>42661</v>
      </c>
      <c r="B61" s="6" t="str">
        <f>INDEX('Raw Data'!$D$2:$D$410,MATCH(A61,'Raw Data'!$B$2:$B$410,0))</f>
        <v>LEGO 42661 Costume Party with Unicorn &amp; Fairy</v>
      </c>
      <c r="C61" s="5" t="str">
        <f>INDEX('Raw Data'!$C$2:$C$410,MATCH(A61,'Raw Data'!$B$2:$B$410,0))</f>
        <v>Lego Friends</v>
      </c>
      <c r="D61" s="7">
        <f>_xlfn.MINIFS('Raw Data'!$E$2:$E$410,'Raw Data'!$B$2:$B$410,A61)</f>
        <v>35.36</v>
      </c>
      <c r="E61" s="5" t="str">
        <f>INDEX('Raw Data'!$A$2:$A$410,MATCH(1,INDEX(('Raw Data'!$B$2:$B$410=A61)*('Raw Data'!$E$2:$E$410=D61),0),0))</f>
        <v>bricksdirect</v>
      </c>
      <c r="F61" s="7">
        <f>_xlfn.MAXIFS('Raw Data'!$E$2:$E$410,'Raw Data'!$B$2:$B$410,A61)</f>
        <v>35.36</v>
      </c>
      <c r="G61" s="5" t="str">
        <f>INDEX('Raw Data'!$A$2:$A$410,MATCH(1,INDEX(('Raw Data'!$B$2:$B$410=A61)*('Raw Data'!$E$2:$E$410=F61),0),0))</f>
        <v>bricksdirect</v>
      </c>
      <c r="H61" s="7">
        <f t="shared" si="0"/>
        <v>0</v>
      </c>
      <c r="I61" s="5">
        <f>COUNTIF('Raw Data'!$B$2:$B$410,A61)</f>
        <v>1</v>
      </c>
    </row>
    <row r="62" spans="1:9" hidden="1" x14ac:dyDescent="0.35">
      <c r="A62" s="5">
        <v>42662</v>
      </c>
      <c r="B62" s="6" t="str">
        <f>INDEX('Raw Data'!$D$2:$D$410,MATCH(A62,'Raw Data'!$B$2:$B$410,0))</f>
        <v>LEGO 42662 Hair Salon and Accessories Store</v>
      </c>
      <c r="C62" s="5" t="str">
        <f>INDEX('Raw Data'!$C$2:$C$410,MATCH(A62,'Raw Data'!$B$2:$B$410,0))</f>
        <v>Lego Friends</v>
      </c>
      <c r="D62" s="7">
        <f>_xlfn.MINIFS('Raw Data'!$E$2:$E$410,'Raw Data'!$B$2:$B$410,A62)</f>
        <v>49.74</v>
      </c>
      <c r="E62" s="5" t="str">
        <f>INDEX('Raw Data'!$A$2:$A$410,MATCH(1,INDEX(('Raw Data'!$B$2:$B$410=A62)*('Raw Data'!$E$2:$E$410=D62),0),0))</f>
        <v>bricksdirect</v>
      </c>
      <c r="F62" s="7">
        <f>_xlfn.MAXIFS('Raw Data'!$E$2:$E$410,'Raw Data'!$B$2:$B$410,A62)</f>
        <v>49.74</v>
      </c>
      <c r="G62" s="5" t="str">
        <f>INDEX('Raw Data'!$A$2:$A$410,MATCH(1,INDEX(('Raw Data'!$B$2:$B$410=A62)*('Raw Data'!$E$2:$E$410=F62),0),0))</f>
        <v>bricksdirect</v>
      </c>
      <c r="H62" s="7">
        <f t="shared" si="0"/>
        <v>0</v>
      </c>
      <c r="I62" s="5">
        <f>COUNTIF('Raw Data'!$B$2:$B$410,A62)</f>
        <v>1</v>
      </c>
    </row>
    <row r="63" spans="1:9" x14ac:dyDescent="0.35">
      <c r="A63" s="5">
        <v>42663</v>
      </c>
      <c r="B63" s="6" t="str">
        <f>INDEX('Raw Data'!$D$2:$D$410,MATCH(A63,'Raw Data'!$B$2:$B$410,0))</f>
        <v>LEGO Friends 42663 Friendship Camper Van...</v>
      </c>
      <c r="C63" s="5" t="str">
        <f>INDEX('Raw Data'!$C$2:$C$410,MATCH(A63,'Raw Data'!$B$2:$B$410,0))</f>
        <v>Lego Friends</v>
      </c>
      <c r="D63" s="7">
        <f>_xlfn.MINIFS('Raw Data'!$E$2:$E$410,'Raw Data'!$B$2:$B$410,A63)</f>
        <v>49.15</v>
      </c>
      <c r="E63" s="5" t="str">
        <f>INDEX('Raw Data'!$A$2:$A$410,MATCH(1,INDEX(('Raw Data'!$B$2:$B$410=A63)*('Raw Data'!$E$2:$E$410=D63),0),0))</f>
        <v>Brickmo</v>
      </c>
      <c r="F63" s="7">
        <f>_xlfn.MAXIFS('Raw Data'!$E$2:$E$410,'Raw Data'!$B$2:$B$410,A63)</f>
        <v>51.95</v>
      </c>
      <c r="G63" s="5" t="str">
        <f>INDEX('Raw Data'!$A$2:$A$410,MATCH(1,INDEX(('Raw Data'!$B$2:$B$410=A63)*('Raw Data'!$E$2:$E$410=F63),0),0))</f>
        <v>bricksdirect</v>
      </c>
      <c r="H63" s="7">
        <f t="shared" si="0"/>
        <v>2.8000000000000043</v>
      </c>
      <c r="I63" s="5">
        <f>COUNTIF('Raw Data'!$B$2:$B$410,A63)</f>
        <v>2</v>
      </c>
    </row>
    <row r="64" spans="1:9" hidden="1" x14ac:dyDescent="0.35">
      <c r="A64" s="5">
        <v>42664</v>
      </c>
      <c r="B64" s="6" t="str">
        <f>INDEX('Raw Data'!$D$2:$D$410,MATCH(A64,'Raw Data'!$B$2:$B$410,0))</f>
        <v>LEGO 42664 Travel Boat Adventure</v>
      </c>
      <c r="C64" s="5" t="str">
        <f>INDEX('Raw Data'!$C$2:$C$410,MATCH(A64,'Raw Data'!$B$2:$B$410,0))</f>
        <v>Lego Friends</v>
      </c>
      <c r="D64" s="7">
        <f>_xlfn.MINIFS('Raw Data'!$E$2:$E$410,'Raw Data'!$B$2:$B$410,A64)</f>
        <v>65.209999999999994</v>
      </c>
      <c r="E64" s="5" t="str">
        <f>INDEX('Raw Data'!$A$2:$A$410,MATCH(1,INDEX(('Raw Data'!$B$2:$B$410=A64)*('Raw Data'!$E$2:$E$410=D64),0),0))</f>
        <v>bricksdirect</v>
      </c>
      <c r="F64" s="7">
        <f>_xlfn.MAXIFS('Raw Data'!$E$2:$E$410,'Raw Data'!$B$2:$B$410,A64)</f>
        <v>65.209999999999994</v>
      </c>
      <c r="G64" s="5" t="str">
        <f>INDEX('Raw Data'!$A$2:$A$410,MATCH(1,INDEX(('Raw Data'!$B$2:$B$410=A64)*('Raw Data'!$E$2:$E$410=F64),0),0))</f>
        <v>bricksdirect</v>
      </c>
      <c r="H64" s="7">
        <f t="shared" si="0"/>
        <v>0</v>
      </c>
      <c r="I64" s="5">
        <f>COUNTIF('Raw Data'!$B$2:$B$410,A64)</f>
        <v>1</v>
      </c>
    </row>
    <row r="65" spans="1:9" hidden="1" x14ac:dyDescent="0.35">
      <c r="A65" s="5">
        <v>42665</v>
      </c>
      <c r="B65" s="6" t="str">
        <f>INDEX('Raw Data'!$D$2:$D$410,MATCH(A65,'Raw Data'!$B$2:$B$410,0))</f>
        <v>LEGO 42665 Puppy Playground</v>
      </c>
      <c r="C65" s="5" t="str">
        <f>INDEX('Raw Data'!$C$2:$C$410,MATCH(A65,'Raw Data'!$B$2:$B$410,0))</f>
        <v>Lego Friends</v>
      </c>
      <c r="D65" s="7">
        <f>_xlfn.MINIFS('Raw Data'!$E$2:$E$410,'Raw Data'!$B$2:$B$410,A65)</f>
        <v>8.83</v>
      </c>
      <c r="E65" s="5" t="str">
        <f>INDEX('Raw Data'!$A$2:$A$410,MATCH(1,INDEX(('Raw Data'!$B$2:$B$410=A65)*('Raw Data'!$E$2:$E$410=D65),0),0))</f>
        <v>bricksdirect</v>
      </c>
      <c r="F65" s="7">
        <f>_xlfn.MAXIFS('Raw Data'!$E$2:$E$410,'Raw Data'!$B$2:$B$410,A65)</f>
        <v>8.83</v>
      </c>
      <c r="G65" s="5" t="str">
        <f>INDEX('Raw Data'!$A$2:$A$410,MATCH(1,INDEX(('Raw Data'!$B$2:$B$410=A65)*('Raw Data'!$E$2:$E$410=F65),0),0))</f>
        <v>bricksdirect</v>
      </c>
      <c r="H65" s="7">
        <f t="shared" si="0"/>
        <v>0</v>
      </c>
      <c r="I65" s="5">
        <f>COUNTIF('Raw Data'!$B$2:$B$410,A65)</f>
        <v>1</v>
      </c>
    </row>
    <row r="66" spans="1:9" x14ac:dyDescent="0.35">
      <c r="A66" s="5">
        <v>42666</v>
      </c>
      <c r="B66" s="6" t="str">
        <f>INDEX('Raw Data'!$D$2:$D$410,MATCH(A66,'Raw Data'!$B$2:$B$410,0))</f>
        <v>LEGO Friends 42666 Cat Birthday Party &amp; Tree...</v>
      </c>
      <c r="C66" s="5" t="str">
        <f>INDEX('Raw Data'!$C$2:$C$410,MATCH(A66,'Raw Data'!$B$2:$B$410,0))</f>
        <v>Lego Friends</v>
      </c>
      <c r="D66" s="7">
        <f>_xlfn.MINIFS('Raw Data'!$E$2:$E$410,'Raw Data'!$B$2:$B$410,A66)</f>
        <v>22.5</v>
      </c>
      <c r="E66" s="5" t="str">
        <f>INDEX('Raw Data'!$A$2:$A$410,MATCH(1,INDEX(('Raw Data'!$B$2:$B$410=A66)*('Raw Data'!$E$2:$E$410=D66),0),0))</f>
        <v>Brickmo</v>
      </c>
      <c r="F66" s="7">
        <f>_xlfn.MAXIFS('Raw Data'!$E$2:$E$410,'Raw Data'!$B$2:$B$410,A66)</f>
        <v>26.52</v>
      </c>
      <c r="G66" s="5" t="str">
        <f>INDEX('Raw Data'!$A$2:$A$410,MATCH(1,INDEX(('Raw Data'!$B$2:$B$410=A66)*('Raw Data'!$E$2:$E$410=F66),0),0))</f>
        <v>bricksdirect</v>
      </c>
      <c r="H66" s="7">
        <f t="shared" ref="H66:H129" si="1">F66-D66</f>
        <v>4.0199999999999996</v>
      </c>
      <c r="I66" s="5">
        <f>COUNTIF('Raw Data'!$B$2:$B$410,A66)</f>
        <v>2</v>
      </c>
    </row>
    <row r="67" spans="1:9" hidden="1" x14ac:dyDescent="0.35">
      <c r="A67" s="5">
        <v>42668</v>
      </c>
      <c r="B67" s="6" t="str">
        <f>INDEX('Raw Data'!$D$2:$D$410,MATCH(A67,'Raw Data'!$B$2:$B$410,0))</f>
        <v>LEGO 42668 Advent Calendar 2025, Friends</v>
      </c>
      <c r="C67" s="5" t="str">
        <f>INDEX('Raw Data'!$C$2:$C$410,MATCH(A67,'Raw Data'!$B$2:$B$410,0))</f>
        <v>Lego Friends</v>
      </c>
      <c r="D67" s="7">
        <f>_xlfn.MINIFS('Raw Data'!$E$2:$E$410,'Raw Data'!$B$2:$B$410,A67)</f>
        <v>29.84</v>
      </c>
      <c r="E67" s="5" t="str">
        <f>INDEX('Raw Data'!$A$2:$A$410,MATCH(1,INDEX(('Raw Data'!$B$2:$B$410=A67)*('Raw Data'!$E$2:$E$410=D67),0),0))</f>
        <v>bricksdirect</v>
      </c>
      <c r="F67" s="7">
        <f>_xlfn.MAXIFS('Raw Data'!$E$2:$E$410,'Raw Data'!$B$2:$B$410,A67)</f>
        <v>29.84</v>
      </c>
      <c r="G67" s="5" t="str">
        <f>INDEX('Raw Data'!$A$2:$A$410,MATCH(1,INDEX(('Raw Data'!$B$2:$B$410=A67)*('Raw Data'!$E$2:$E$410=F67),0),0))</f>
        <v>bricksdirect</v>
      </c>
      <c r="H67" s="7">
        <f t="shared" si="1"/>
        <v>0</v>
      </c>
      <c r="I67" s="5">
        <f>COUNTIF('Raw Data'!$B$2:$B$410,A67)</f>
        <v>1</v>
      </c>
    </row>
    <row r="68" spans="1:9" hidden="1" x14ac:dyDescent="0.35">
      <c r="A68" s="5">
        <v>42669</v>
      </c>
      <c r="B68" s="6" t="str">
        <f>INDEX('Raw Data'!$D$2:$D$410,MATCH(A68,'Raw Data'!$B$2:$B$410,0))</f>
        <v>LEGO 42669 Beekeepers’ House and Flower Garden</v>
      </c>
      <c r="C68" s="5" t="str">
        <f>INDEX('Raw Data'!$C$2:$C$410,MATCH(A68,'Raw Data'!$B$2:$B$410,0))</f>
        <v>Lego Friends</v>
      </c>
      <c r="D68" s="7">
        <f>_xlfn.MINIFS('Raw Data'!$E$2:$E$410,'Raw Data'!$B$2:$B$410,A68)</f>
        <v>110.54</v>
      </c>
      <c r="E68" s="5" t="str">
        <f>INDEX('Raw Data'!$A$2:$A$410,MATCH(1,INDEX(('Raw Data'!$B$2:$B$410=A68)*('Raw Data'!$E$2:$E$410=D68),0),0))</f>
        <v>bricksdirect</v>
      </c>
      <c r="F68" s="7">
        <f>_xlfn.MAXIFS('Raw Data'!$E$2:$E$410,'Raw Data'!$B$2:$B$410,A68)</f>
        <v>110.54</v>
      </c>
      <c r="G68" s="5" t="str">
        <f>INDEX('Raw Data'!$A$2:$A$410,MATCH(1,INDEX(('Raw Data'!$B$2:$B$410=A68)*('Raw Data'!$E$2:$E$410=F68),0),0))</f>
        <v>bricksdirect</v>
      </c>
      <c r="H68" s="7">
        <f t="shared" si="1"/>
        <v>0</v>
      </c>
      <c r="I68" s="5">
        <f>COUNTIF('Raw Data'!$B$2:$B$410,A68)</f>
        <v>1</v>
      </c>
    </row>
    <row r="69" spans="1:9" hidden="1" x14ac:dyDescent="0.35">
      <c r="A69" s="5">
        <v>42671</v>
      </c>
      <c r="B69" s="6" t="str">
        <f>INDEX('Raw Data'!$D$2:$D$410,MATCH(A69,'Raw Data'!$B$2:$B$410,0))</f>
        <v>LEGO 42671 Plant Café &amp; Flower Shop</v>
      </c>
      <c r="C69" s="5" t="str">
        <f>INDEX('Raw Data'!$C$2:$C$410,MATCH(A69,'Raw Data'!$B$2:$B$410,0))</f>
        <v>Lego Friends</v>
      </c>
      <c r="D69" s="7">
        <f>_xlfn.MINIFS('Raw Data'!$E$2:$E$410,'Raw Data'!$B$2:$B$410,A69)</f>
        <v>99.47</v>
      </c>
      <c r="E69" s="5" t="str">
        <f>INDEX('Raw Data'!$A$2:$A$410,MATCH(1,INDEX(('Raw Data'!$B$2:$B$410=A69)*('Raw Data'!$E$2:$E$410=D69),0),0))</f>
        <v>bricksdirect</v>
      </c>
      <c r="F69" s="7">
        <f>_xlfn.MAXIFS('Raw Data'!$E$2:$E$410,'Raw Data'!$B$2:$B$410,A69)</f>
        <v>99.47</v>
      </c>
      <c r="G69" s="5" t="str">
        <f>INDEX('Raw Data'!$A$2:$A$410,MATCH(1,INDEX(('Raw Data'!$B$2:$B$410=A69)*('Raw Data'!$E$2:$E$410=F69),0),0))</f>
        <v>bricksdirect</v>
      </c>
      <c r="H69" s="7">
        <f t="shared" si="1"/>
        <v>0</v>
      </c>
      <c r="I69" s="5">
        <f>COUNTIF('Raw Data'!$B$2:$B$410,A69)</f>
        <v>1</v>
      </c>
    </row>
    <row r="70" spans="1:9" hidden="1" x14ac:dyDescent="0.35">
      <c r="A70" s="5">
        <v>42672</v>
      </c>
      <c r="B70" s="6" t="str">
        <f>INDEX('Raw Data'!$D$2:$D$410,MATCH(A70,'Raw Data'!$B$2:$B$410,0))</f>
        <v>LEGO 42672 Creative Beach and Travel Suitcase</v>
      </c>
      <c r="C70" s="5" t="str">
        <f>INDEX('Raw Data'!$C$2:$C$410,MATCH(A70,'Raw Data'!$B$2:$B$410,0))</f>
        <v>Lego Friends</v>
      </c>
      <c r="D70" s="7">
        <f>_xlfn.MINIFS('Raw Data'!$E$2:$E$410,'Raw Data'!$B$2:$B$410,A70)</f>
        <v>33.15</v>
      </c>
      <c r="E70" s="5" t="str">
        <f>INDEX('Raw Data'!$A$2:$A$410,MATCH(1,INDEX(('Raw Data'!$B$2:$B$410=A70)*('Raw Data'!$E$2:$E$410=D70),0),0))</f>
        <v>bricksdirect</v>
      </c>
      <c r="F70" s="7">
        <f>_xlfn.MAXIFS('Raw Data'!$E$2:$E$410,'Raw Data'!$B$2:$B$410,A70)</f>
        <v>33.15</v>
      </c>
      <c r="G70" s="5" t="str">
        <f>INDEX('Raw Data'!$A$2:$A$410,MATCH(1,INDEX(('Raw Data'!$B$2:$B$410=A70)*('Raw Data'!$E$2:$E$410=F70),0),0))</f>
        <v>bricksdirect</v>
      </c>
      <c r="H70" s="7">
        <f t="shared" si="1"/>
        <v>0</v>
      </c>
      <c r="I70" s="5">
        <f>COUNTIF('Raw Data'!$B$2:$B$410,A70)</f>
        <v>1</v>
      </c>
    </row>
    <row r="71" spans="1:9" x14ac:dyDescent="0.35">
      <c r="A71" s="5">
        <v>42673</v>
      </c>
      <c r="B71" s="6" t="str">
        <f>INDEX('Raw Data'!$D$2:$D$410,MATCH(A71,'Raw Data'!$B$2:$B$410,0))</f>
        <v>LEGO Friends 42673 Family Vacation Beach Resort...</v>
      </c>
      <c r="C71" s="5" t="str">
        <f>INDEX('Raw Data'!$C$2:$C$410,MATCH(A71,'Raw Data'!$B$2:$B$410,0))</f>
        <v>Lego Friends</v>
      </c>
      <c r="D71" s="7">
        <f>_xlfn.MINIFS('Raw Data'!$E$2:$E$410,'Raw Data'!$B$2:$B$410,A71)</f>
        <v>107.57</v>
      </c>
      <c r="E71" s="5" t="str">
        <f>INDEX('Raw Data'!$A$2:$A$410,MATCH(1,INDEX(('Raw Data'!$B$2:$B$410=A71)*('Raw Data'!$E$2:$E$410=D71),0),0))</f>
        <v>Brickmo</v>
      </c>
      <c r="F71" s="7">
        <f>_xlfn.MAXIFS('Raw Data'!$E$2:$E$410,'Raw Data'!$B$2:$B$410,A71)</f>
        <v>143.71</v>
      </c>
      <c r="G71" s="5" t="str">
        <f>INDEX('Raw Data'!$A$2:$A$410,MATCH(1,INDEX(('Raw Data'!$B$2:$B$410=A71)*('Raw Data'!$E$2:$E$410=F71),0),0))</f>
        <v>bricksdirect</v>
      </c>
      <c r="H71" s="7">
        <f t="shared" si="1"/>
        <v>36.140000000000015</v>
      </c>
      <c r="I71" s="5">
        <f>COUNTIF('Raw Data'!$B$2:$B$410,A71)</f>
        <v>3</v>
      </c>
    </row>
    <row r="72" spans="1:9" hidden="1" x14ac:dyDescent="0.35">
      <c r="A72" s="5">
        <v>42674</v>
      </c>
      <c r="B72" s="6" t="str">
        <f>INDEX('Raw Data'!$D$2:$D$410,MATCH(A72,'Raw Data'!$B$2:$B$410,0))</f>
        <v>LEGO 42674 Comic Book and Game Store</v>
      </c>
      <c r="C72" s="5" t="str">
        <f>INDEX('Raw Data'!$C$2:$C$410,MATCH(A72,'Raw Data'!$B$2:$B$410,0))</f>
        <v>Lego Friends</v>
      </c>
      <c r="D72" s="7">
        <f>_xlfn.MINIFS('Raw Data'!$E$2:$E$410,'Raw Data'!$B$2:$B$410,A72)</f>
        <v>110.54</v>
      </c>
      <c r="E72" s="5" t="str">
        <f>INDEX('Raw Data'!$A$2:$A$410,MATCH(1,INDEX(('Raw Data'!$B$2:$B$410=A72)*('Raw Data'!$E$2:$E$410=D72),0),0))</f>
        <v>bricksdirect</v>
      </c>
      <c r="F72" s="7">
        <f>_xlfn.MAXIFS('Raw Data'!$E$2:$E$410,'Raw Data'!$B$2:$B$410,A72)</f>
        <v>110.54</v>
      </c>
      <c r="G72" s="5" t="str">
        <f>INDEX('Raw Data'!$A$2:$A$410,MATCH(1,INDEX(('Raw Data'!$B$2:$B$410=A72)*('Raw Data'!$E$2:$E$410=F72),0),0))</f>
        <v>bricksdirect</v>
      </c>
      <c r="H72" s="7">
        <f t="shared" si="1"/>
        <v>0</v>
      </c>
      <c r="I72" s="5">
        <f>COUNTIF('Raw Data'!$B$2:$B$410,A72)</f>
        <v>1</v>
      </c>
    </row>
    <row r="73" spans="1:9" x14ac:dyDescent="0.35">
      <c r="A73" s="5">
        <v>42675</v>
      </c>
      <c r="B73" s="6" t="str">
        <f>INDEX('Raw Data'!$D$2:$D$410,MATCH(A73,'Raw Data'!$B$2:$B$410,0))</f>
        <v>LEGO 42675 Unicorn Cake Delivery Car</v>
      </c>
      <c r="C73" s="5" t="str">
        <f>INDEX('Raw Data'!$C$2:$C$410,MATCH(A73,'Raw Data'!$B$2:$B$410,0))</f>
        <v>Lego Friends</v>
      </c>
      <c r="D73" s="7">
        <f>_xlfn.MINIFS('Raw Data'!$E$2:$E$410,'Raw Data'!$B$2:$B$410,A73)</f>
        <v>8.49</v>
      </c>
      <c r="E73" s="5" t="str">
        <f>INDEX('Raw Data'!$A$2:$A$410,MATCH(1,INDEX(('Raw Data'!$B$2:$B$410=A73)*('Raw Data'!$E$2:$E$410=D73),0),0))</f>
        <v>JB Spielwaren</v>
      </c>
      <c r="F73" s="7">
        <f>_xlfn.MAXIFS('Raw Data'!$E$2:$E$410,'Raw Data'!$B$2:$B$410,A73)</f>
        <v>9.94</v>
      </c>
      <c r="G73" s="5" t="str">
        <f>INDEX('Raw Data'!$A$2:$A$410,MATCH(1,INDEX(('Raw Data'!$B$2:$B$410=A73)*('Raw Data'!$E$2:$E$410=F73),0),0))</f>
        <v>bricksdirect</v>
      </c>
      <c r="H73" s="7">
        <f t="shared" si="1"/>
        <v>1.4499999999999993</v>
      </c>
      <c r="I73" s="5">
        <f>COUNTIF('Raw Data'!$B$2:$B$410,A73)</f>
        <v>2</v>
      </c>
    </row>
    <row r="74" spans="1:9" x14ac:dyDescent="0.35">
      <c r="A74" s="5">
        <v>42676</v>
      </c>
      <c r="B74" s="6" t="str">
        <f>INDEX('Raw Data'!$D$2:$D$410,MATCH(A74,'Raw Data'!$B$2:$B$410,0))</f>
        <v>LEGO Friends 42676 Fun Water Park Day 42676</v>
      </c>
      <c r="C74" s="5" t="str">
        <f>INDEX('Raw Data'!$C$2:$C$410,MATCH(A74,'Raw Data'!$B$2:$B$410,0))</f>
        <v>Lego Friends</v>
      </c>
      <c r="D74" s="7">
        <f>_xlfn.MINIFS('Raw Data'!$E$2:$E$410,'Raw Data'!$B$2:$B$410,A74)</f>
        <v>21.99</v>
      </c>
      <c r="E74" s="5" t="str">
        <f>INDEX('Raw Data'!$A$2:$A$410,MATCH(1,INDEX(('Raw Data'!$B$2:$B$410=A74)*('Raw Data'!$E$2:$E$410=D74),0),0))</f>
        <v>Brickmo</v>
      </c>
      <c r="F74" s="7">
        <f>_xlfn.MAXIFS('Raw Data'!$E$2:$E$410,'Raw Data'!$B$2:$B$410,A74)</f>
        <v>28.73</v>
      </c>
      <c r="G74" s="5" t="str">
        <f>INDEX('Raw Data'!$A$2:$A$410,MATCH(1,INDEX(('Raw Data'!$B$2:$B$410=A74)*('Raw Data'!$E$2:$E$410=F74),0),0))</f>
        <v>bricksdirect</v>
      </c>
      <c r="H74" s="7">
        <f t="shared" si="1"/>
        <v>6.740000000000002</v>
      </c>
      <c r="I74" s="5">
        <f>COUNTIF('Raw Data'!$B$2:$B$410,A74)</f>
        <v>3</v>
      </c>
    </row>
    <row r="75" spans="1:9" x14ac:dyDescent="0.35">
      <c r="A75" s="5">
        <v>42677</v>
      </c>
      <c r="B75" s="6" t="str">
        <f>INDEX('Raw Data'!$D$2:$D$410,MATCH(A75,'Raw Data'!$B$2:$B$410,0))</f>
        <v>LEGO 42677 Dog Treats Bakery</v>
      </c>
      <c r="C75" s="5" t="str">
        <f>INDEX('Raw Data'!$C$2:$C$410,MATCH(A75,'Raw Data'!$B$2:$B$410,0))</f>
        <v>Lego Friends</v>
      </c>
      <c r="D75" s="7">
        <f>_xlfn.MINIFS('Raw Data'!$E$2:$E$410,'Raw Data'!$B$2:$B$410,A75)</f>
        <v>25.49</v>
      </c>
      <c r="E75" s="5" t="str">
        <f>INDEX('Raw Data'!$A$2:$A$410,MATCH(1,INDEX(('Raw Data'!$B$2:$B$410=A75)*('Raw Data'!$E$2:$E$410=D75),0),0))</f>
        <v>JB Spielwaren</v>
      </c>
      <c r="F75" s="7">
        <f>_xlfn.MAXIFS('Raw Data'!$E$2:$E$410,'Raw Data'!$B$2:$B$410,A75)</f>
        <v>28.73</v>
      </c>
      <c r="G75" s="5" t="str">
        <f>INDEX('Raw Data'!$A$2:$A$410,MATCH(1,INDEX(('Raw Data'!$B$2:$B$410=A75)*('Raw Data'!$E$2:$E$410=F75),0),0))</f>
        <v>bricksdirect</v>
      </c>
      <c r="H75" s="7">
        <f t="shared" si="1"/>
        <v>3.240000000000002</v>
      </c>
      <c r="I75" s="5">
        <f>COUNTIF('Raw Data'!$B$2:$B$410,A75)</f>
        <v>2</v>
      </c>
    </row>
    <row r="76" spans="1:9" x14ac:dyDescent="0.35">
      <c r="A76" s="5">
        <v>42678</v>
      </c>
      <c r="B76" s="6" t="str">
        <f>INDEX('Raw Data'!$D$2:$D$410,MATCH(A76,'Raw Data'!$B$2:$B$410,0))</f>
        <v>LEGO 42678 Pet Accessories Van</v>
      </c>
      <c r="C76" s="5" t="str">
        <f>INDEX('Raw Data'!$C$2:$C$410,MATCH(A76,'Raw Data'!$B$2:$B$410,0))</f>
        <v>Lego Friends</v>
      </c>
      <c r="D76" s="7">
        <f>_xlfn.MINIFS('Raw Data'!$E$2:$E$410,'Raw Data'!$B$2:$B$410,A76)</f>
        <v>16.989999999999998</v>
      </c>
      <c r="E76" s="5" t="str">
        <f>INDEX('Raw Data'!$A$2:$A$410,MATCH(1,INDEX(('Raw Data'!$B$2:$B$410=A76)*('Raw Data'!$E$2:$E$410=D76),0),0))</f>
        <v>JB Spielwaren</v>
      </c>
      <c r="F76" s="7">
        <f>_xlfn.MAXIFS('Raw Data'!$E$2:$E$410,'Raw Data'!$B$2:$B$410,A76)</f>
        <v>18.78</v>
      </c>
      <c r="G76" s="5" t="str">
        <f>INDEX('Raw Data'!$A$2:$A$410,MATCH(1,INDEX(('Raw Data'!$B$2:$B$410=A76)*('Raw Data'!$E$2:$E$410=F76),0),0))</f>
        <v>bricksdirect</v>
      </c>
      <c r="H76" s="7">
        <f t="shared" si="1"/>
        <v>1.7900000000000027</v>
      </c>
      <c r="I76" s="5">
        <f>COUNTIF('Raw Data'!$B$2:$B$410,A76)</f>
        <v>2</v>
      </c>
    </row>
    <row r="77" spans="1:9" x14ac:dyDescent="0.35">
      <c r="A77" s="5">
        <v>42679</v>
      </c>
      <c r="B77" s="6" t="str">
        <f>INDEX('Raw Data'!$D$2:$D$410,MATCH(A77,'Raw Data'!$B$2:$B$410,0))</f>
        <v>LEGO 42679 Heartlake City Bunny Hotel</v>
      </c>
      <c r="C77" s="5" t="str">
        <f>INDEX('Raw Data'!$C$2:$C$410,MATCH(A77,'Raw Data'!$B$2:$B$410,0))</f>
        <v>Lego Friends</v>
      </c>
      <c r="D77" s="7">
        <f>_xlfn.MINIFS('Raw Data'!$E$2:$E$410,'Raw Data'!$B$2:$B$410,A77)</f>
        <v>21.24</v>
      </c>
      <c r="E77" s="5" t="str">
        <f>INDEX('Raw Data'!$A$2:$A$410,MATCH(1,INDEX(('Raw Data'!$B$2:$B$410=A77)*('Raw Data'!$E$2:$E$410=D77),0),0))</f>
        <v>JB Spielwaren</v>
      </c>
      <c r="F77" s="7">
        <f>_xlfn.MAXIFS('Raw Data'!$E$2:$E$410,'Raw Data'!$B$2:$B$410,A77)</f>
        <v>24.31</v>
      </c>
      <c r="G77" s="5" t="str">
        <f>INDEX('Raw Data'!$A$2:$A$410,MATCH(1,INDEX(('Raw Data'!$B$2:$B$410=A77)*('Raw Data'!$E$2:$E$410=F77),0),0))</f>
        <v>bricksdirect</v>
      </c>
      <c r="H77" s="7">
        <f t="shared" si="1"/>
        <v>3.0700000000000003</v>
      </c>
      <c r="I77" s="5">
        <f>COUNTIF('Raw Data'!$B$2:$B$410,A77)</f>
        <v>2</v>
      </c>
    </row>
    <row r="78" spans="1:9" x14ac:dyDescent="0.35">
      <c r="A78" s="5">
        <v>42680</v>
      </c>
      <c r="B78" s="6" t="str">
        <f>INDEX('Raw Data'!$D$2:$D$410,MATCH(A78,'Raw Data'!$B$2:$B$410,0))</f>
        <v>LEGO 42680 Heartlake City Convenience Store</v>
      </c>
      <c r="C78" s="5" t="str">
        <f>INDEX('Raw Data'!$C$2:$C$410,MATCH(A78,'Raw Data'!$B$2:$B$410,0))</f>
        <v>Lego Friends</v>
      </c>
      <c r="D78" s="7">
        <f>_xlfn.MINIFS('Raw Data'!$E$2:$E$410,'Raw Data'!$B$2:$B$410,A78)</f>
        <v>16.989999999999998</v>
      </c>
      <c r="E78" s="5" t="str">
        <f>INDEX('Raw Data'!$A$2:$A$410,MATCH(1,INDEX(('Raw Data'!$B$2:$B$410=A78)*('Raw Data'!$E$2:$E$410=D78),0),0))</f>
        <v>JB Spielwaren</v>
      </c>
      <c r="F78" s="7">
        <f>_xlfn.MAXIFS('Raw Data'!$E$2:$E$410,'Raw Data'!$B$2:$B$410,A78)</f>
        <v>21.07</v>
      </c>
      <c r="G78" s="5" t="str">
        <f>INDEX('Raw Data'!$A$2:$A$410,MATCH(1,INDEX(('Raw Data'!$B$2:$B$410=A78)*('Raw Data'!$E$2:$E$410=F78),0),0))</f>
        <v>Zavvi</v>
      </c>
      <c r="H78" s="7">
        <f t="shared" si="1"/>
        <v>4.0800000000000018</v>
      </c>
      <c r="I78" s="5">
        <f>COUNTIF('Raw Data'!$B$2:$B$410,A78)</f>
        <v>3</v>
      </c>
    </row>
    <row r="79" spans="1:9" x14ac:dyDescent="0.35">
      <c r="A79" s="5">
        <v>42681</v>
      </c>
      <c r="B79" s="6" t="str">
        <f>INDEX('Raw Data'!$D$2:$D$410,MATCH(A79,'Raw Data'!$B$2:$B$410,0))</f>
        <v>LEGO Friends 42681 Axolotl Adventure Boat 42681</v>
      </c>
      <c r="C79" s="5" t="str">
        <f>INDEX('Raw Data'!$C$2:$C$410,MATCH(A79,'Raw Data'!$B$2:$B$410,0))</f>
        <v>Lego Friends</v>
      </c>
      <c r="D79" s="7">
        <f>_xlfn.MINIFS('Raw Data'!$E$2:$E$410,'Raw Data'!$B$2:$B$410,A79)</f>
        <v>8.4600000000000009</v>
      </c>
      <c r="E79" s="5" t="str">
        <f>INDEX('Raw Data'!$A$2:$A$410,MATCH(1,INDEX(('Raw Data'!$B$2:$B$410=A79)*('Raw Data'!$E$2:$E$410=D79),0),0))</f>
        <v>Brickmo</v>
      </c>
      <c r="F79" s="7">
        <f>_xlfn.MAXIFS('Raw Data'!$E$2:$E$410,'Raw Data'!$B$2:$B$410,A79)</f>
        <v>9.94</v>
      </c>
      <c r="G79" s="5" t="str">
        <f>INDEX('Raw Data'!$A$2:$A$410,MATCH(1,INDEX(('Raw Data'!$B$2:$B$410=A79)*('Raw Data'!$E$2:$E$410=F79),0),0))</f>
        <v>bricksdirect</v>
      </c>
      <c r="H79" s="7">
        <f t="shared" si="1"/>
        <v>1.4799999999999986</v>
      </c>
      <c r="I79" s="5">
        <f>COUNTIF('Raw Data'!$B$2:$B$410,A79)</f>
        <v>3</v>
      </c>
    </row>
    <row r="80" spans="1:9" x14ac:dyDescent="0.35">
      <c r="A80" s="5">
        <v>42682</v>
      </c>
      <c r="B80" s="6" t="str">
        <f>INDEX('Raw Data'!$D$2:$D$410,MATCH(A80,'Raw Data'!$B$2:$B$410,0))</f>
        <v>LEGO Friends 42682 Nature Glamping Cabin 42682</v>
      </c>
      <c r="C80" s="5" t="str">
        <f>INDEX('Raw Data'!$C$2:$C$410,MATCH(A80,'Raw Data'!$B$2:$B$410,0))</f>
        <v>Lego Friends</v>
      </c>
      <c r="D80" s="7">
        <f>_xlfn.MINIFS('Raw Data'!$E$2:$E$410,'Raw Data'!$B$2:$B$410,A80)</f>
        <v>18.399999999999999</v>
      </c>
      <c r="E80" s="5" t="str">
        <f>INDEX('Raw Data'!$A$2:$A$410,MATCH(1,INDEX(('Raw Data'!$B$2:$B$410=A80)*('Raw Data'!$E$2:$E$410=D80),0),0))</f>
        <v>Brickmo</v>
      </c>
      <c r="F80" s="7">
        <f>_xlfn.MAXIFS('Raw Data'!$E$2:$E$410,'Raw Data'!$B$2:$B$410,A80)</f>
        <v>24.31</v>
      </c>
      <c r="G80" s="5" t="str">
        <f>INDEX('Raw Data'!$A$2:$A$410,MATCH(1,INDEX(('Raw Data'!$B$2:$B$410=A80)*('Raw Data'!$E$2:$E$410=F80),0),0))</f>
        <v>bricksdirect</v>
      </c>
      <c r="H80" s="7">
        <f t="shared" si="1"/>
        <v>5.91</v>
      </c>
      <c r="I80" s="5">
        <f>COUNTIF('Raw Data'!$B$2:$B$410,A80)</f>
        <v>3</v>
      </c>
    </row>
    <row r="81" spans="1:9" x14ac:dyDescent="0.35">
      <c r="A81" s="5">
        <v>42684</v>
      </c>
      <c r="B81" s="6" t="str">
        <f>INDEX('Raw Data'!$D$2:$D$410,MATCH(A81,'Raw Data'!$B$2:$B$410,0))</f>
        <v>LEGO 42684 Unicorn Dream Café</v>
      </c>
      <c r="C81" s="5" t="str">
        <f>INDEX('Raw Data'!$C$2:$C$410,MATCH(A81,'Raw Data'!$B$2:$B$410,0))</f>
        <v>Lego Friends</v>
      </c>
      <c r="D81" s="7">
        <f>_xlfn.MINIFS('Raw Data'!$E$2:$E$410,'Raw Data'!$B$2:$B$410,A81)</f>
        <v>33.99</v>
      </c>
      <c r="E81" s="5" t="str">
        <f>INDEX('Raw Data'!$A$2:$A$410,MATCH(1,INDEX(('Raw Data'!$B$2:$B$410=A81)*('Raw Data'!$E$2:$E$410=D81),0),0))</f>
        <v>JB Spielwaren</v>
      </c>
      <c r="F81" s="7">
        <f>_xlfn.MAXIFS('Raw Data'!$E$2:$E$410,'Raw Data'!$B$2:$B$410,A81)</f>
        <v>37.58</v>
      </c>
      <c r="G81" s="5" t="str">
        <f>INDEX('Raw Data'!$A$2:$A$410,MATCH(1,INDEX(('Raw Data'!$B$2:$B$410=A81)*('Raw Data'!$E$2:$E$410=F81),0),0))</f>
        <v>bricksdirect</v>
      </c>
      <c r="H81" s="7">
        <f t="shared" si="1"/>
        <v>3.5899999999999963</v>
      </c>
      <c r="I81" s="5">
        <f>COUNTIF('Raw Data'!$B$2:$B$410,A81)</f>
        <v>2</v>
      </c>
    </row>
    <row r="82" spans="1:9" x14ac:dyDescent="0.35">
      <c r="A82" s="5">
        <v>42685</v>
      </c>
      <c r="B82" s="6" t="str">
        <f>INDEX('Raw Data'!$D$2:$D$410,MATCH(A82,'Raw Data'!$B$2:$B$410,0))</f>
        <v>LEGO 42685 Heartlake City Fashion Show</v>
      </c>
      <c r="C82" s="5" t="str">
        <f>INDEX('Raw Data'!$C$2:$C$410,MATCH(A82,'Raw Data'!$B$2:$B$410,0))</f>
        <v>Lego Friends</v>
      </c>
      <c r="D82" s="7">
        <f>_xlfn.MINIFS('Raw Data'!$E$2:$E$410,'Raw Data'!$B$2:$B$410,A82)</f>
        <v>42.49</v>
      </c>
      <c r="E82" s="5" t="str">
        <f>INDEX('Raw Data'!$A$2:$A$410,MATCH(1,INDEX(('Raw Data'!$B$2:$B$410=A82)*('Raw Data'!$E$2:$E$410=D82),0),0))</f>
        <v>JB Spielwaren</v>
      </c>
      <c r="F82" s="7">
        <f>_xlfn.MAXIFS('Raw Data'!$E$2:$E$410,'Raw Data'!$B$2:$B$410,A82)</f>
        <v>52.69</v>
      </c>
      <c r="G82" s="5" t="str">
        <f>INDEX('Raw Data'!$A$2:$A$410,MATCH(1,INDEX(('Raw Data'!$B$2:$B$410=A82)*('Raw Data'!$E$2:$E$410=F82),0),0))</f>
        <v>Zavvi</v>
      </c>
      <c r="H82" s="7">
        <f t="shared" si="1"/>
        <v>10.199999999999996</v>
      </c>
      <c r="I82" s="5">
        <f>COUNTIF('Raw Data'!$B$2:$B$410,A82)</f>
        <v>3</v>
      </c>
    </row>
    <row r="83" spans="1:9" x14ac:dyDescent="0.35">
      <c r="A83" s="5">
        <v>42686</v>
      </c>
      <c r="B83" s="6" t="str">
        <f>INDEX('Raw Data'!$D$2:$D$410,MATCH(A83,'Raw Data'!$B$2:$B$410,0))</f>
        <v>LEGO 42686 Fun Indoor Playground</v>
      </c>
      <c r="C83" s="5" t="str">
        <f>INDEX('Raw Data'!$C$2:$C$410,MATCH(A83,'Raw Data'!$B$2:$B$410,0))</f>
        <v>Lego Friends</v>
      </c>
      <c r="D83" s="7">
        <f>_xlfn.MINIFS('Raw Data'!$E$2:$E$410,'Raw Data'!$B$2:$B$410,A83)</f>
        <v>47.99</v>
      </c>
      <c r="E83" s="5" t="str">
        <f>INDEX('Raw Data'!$A$2:$A$410,MATCH(1,INDEX(('Raw Data'!$B$2:$B$410=A83)*('Raw Data'!$E$2:$E$410=D83),0),0))</f>
        <v>JB Spielwaren</v>
      </c>
      <c r="F83" s="7">
        <f>_xlfn.MAXIFS('Raw Data'!$E$2:$E$410,'Raw Data'!$B$2:$B$410,A83)</f>
        <v>64.400000000000006</v>
      </c>
      <c r="G83" s="5" t="str">
        <f>INDEX('Raw Data'!$A$2:$A$410,MATCH(1,INDEX(('Raw Data'!$B$2:$B$410=A83)*('Raw Data'!$E$2:$E$410=F83),0),0))</f>
        <v>Zavvi</v>
      </c>
      <c r="H83" s="7">
        <f t="shared" si="1"/>
        <v>16.410000000000004</v>
      </c>
      <c r="I83" s="5">
        <f>COUNTIF('Raw Data'!$B$2:$B$410,A83)</f>
        <v>3</v>
      </c>
    </row>
    <row r="84" spans="1:9" x14ac:dyDescent="0.35">
      <c r="A84" s="5">
        <v>42687</v>
      </c>
      <c r="B84" s="6" t="str">
        <f>INDEX('Raw Data'!$D$2:$D$410,MATCH(A84,'Raw Data'!$B$2:$B$410,0))</f>
        <v>LEGO Friends 42687 Liann's Family House 42687</v>
      </c>
      <c r="C84" s="5" t="str">
        <f>INDEX('Raw Data'!$C$2:$C$410,MATCH(A84,'Raw Data'!$B$2:$B$410,0))</f>
        <v>Lego Friends</v>
      </c>
      <c r="D84" s="7">
        <f>_xlfn.MINIFS('Raw Data'!$E$2:$E$410,'Raw Data'!$B$2:$B$410,A84)</f>
        <v>54.17</v>
      </c>
      <c r="E84" s="5" t="str">
        <f>INDEX('Raw Data'!$A$2:$A$410,MATCH(1,INDEX(('Raw Data'!$B$2:$B$410=A84)*('Raw Data'!$E$2:$E$410=D84),0),0))</f>
        <v>Brickmo</v>
      </c>
      <c r="F84" s="7">
        <f>_xlfn.MAXIFS('Raw Data'!$E$2:$E$410,'Raw Data'!$B$2:$B$410,A84)</f>
        <v>66.319999999999993</v>
      </c>
      <c r="G84" s="5" t="str">
        <f>INDEX('Raw Data'!$A$2:$A$410,MATCH(1,INDEX(('Raw Data'!$B$2:$B$410=A84)*('Raw Data'!$E$2:$E$410=F84),0),0))</f>
        <v>bricksdirect</v>
      </c>
      <c r="H84" s="7">
        <f t="shared" si="1"/>
        <v>12.149999999999991</v>
      </c>
      <c r="I84" s="5">
        <f>COUNTIF('Raw Data'!$B$2:$B$410,A84)</f>
        <v>3</v>
      </c>
    </row>
    <row r="85" spans="1:9" x14ac:dyDescent="0.35">
      <c r="A85" s="5">
        <v>42688</v>
      </c>
      <c r="B85" s="6" t="str">
        <f>INDEX('Raw Data'!$D$2:$D$410,MATCH(A85,'Raw Data'!$B$2:$B$410,0))</f>
        <v>LEGO 42688 Horse Stable and Riding Academy</v>
      </c>
      <c r="C85" s="5" t="str">
        <f>INDEX('Raw Data'!$C$2:$C$410,MATCH(A85,'Raw Data'!$B$2:$B$410,0))</f>
        <v>Lego Friends</v>
      </c>
      <c r="D85" s="7">
        <f>_xlfn.MINIFS('Raw Data'!$E$2:$E$410,'Raw Data'!$B$2:$B$410,A85)</f>
        <v>55.99</v>
      </c>
      <c r="E85" s="5" t="str">
        <f>INDEX('Raw Data'!$A$2:$A$410,MATCH(1,INDEX(('Raw Data'!$B$2:$B$410=A85)*('Raw Data'!$E$2:$E$410=D85),0),0))</f>
        <v>JB Spielwaren</v>
      </c>
      <c r="F85" s="7">
        <f>_xlfn.MAXIFS('Raw Data'!$E$2:$E$410,'Raw Data'!$B$2:$B$410,A85)</f>
        <v>81.97</v>
      </c>
      <c r="G85" s="5" t="str">
        <f>INDEX('Raw Data'!$A$2:$A$410,MATCH(1,INDEX(('Raw Data'!$B$2:$B$410=A85)*('Raw Data'!$E$2:$E$410=F85),0),0))</f>
        <v>Zavvi</v>
      </c>
      <c r="H85" s="7">
        <f t="shared" si="1"/>
        <v>25.979999999999997</v>
      </c>
      <c r="I85" s="5">
        <f>COUNTIF('Raw Data'!$B$2:$B$410,A85)</f>
        <v>3</v>
      </c>
    </row>
    <row r="86" spans="1:9" x14ac:dyDescent="0.35">
      <c r="A86" s="5">
        <v>42689</v>
      </c>
      <c r="B86" s="6" t="str">
        <f>INDEX('Raw Data'!$D$2:$D$410,MATCH(A86,'Raw Data'!$B$2:$B$410,0))</f>
        <v>LEGO 42689 Heartlake City Friends Club House</v>
      </c>
      <c r="C86" s="5" t="str">
        <f>INDEX('Raw Data'!$C$2:$C$410,MATCH(A86,'Raw Data'!$B$2:$B$410,0))</f>
        <v>Lego Friends</v>
      </c>
      <c r="D86" s="7">
        <f>_xlfn.MINIFS('Raw Data'!$E$2:$E$410,'Raw Data'!$B$2:$B$410,A86)</f>
        <v>71.989999999999995</v>
      </c>
      <c r="E86" s="5" t="str">
        <f>INDEX('Raw Data'!$A$2:$A$410,MATCH(1,INDEX(('Raw Data'!$B$2:$B$410=A86)*('Raw Data'!$E$2:$E$410=D86),0),0))</f>
        <v>JB Spielwaren</v>
      </c>
      <c r="F86" s="7">
        <f>_xlfn.MAXIFS('Raw Data'!$E$2:$E$410,'Raw Data'!$B$2:$B$410,A86)</f>
        <v>93.68</v>
      </c>
      <c r="G86" s="5" t="str">
        <f>INDEX('Raw Data'!$A$2:$A$410,MATCH(1,INDEX(('Raw Data'!$B$2:$B$410=A86)*('Raw Data'!$E$2:$E$410=F86),0),0))</f>
        <v>Zavvi</v>
      </c>
      <c r="H86" s="7">
        <f t="shared" si="1"/>
        <v>21.690000000000012</v>
      </c>
      <c r="I86" s="5">
        <f>COUNTIF('Raw Data'!$B$2:$B$410,A86)</f>
        <v>3</v>
      </c>
    </row>
    <row r="87" spans="1:9" x14ac:dyDescent="0.35">
      <c r="A87" s="5">
        <v>42690</v>
      </c>
      <c r="B87" s="6" t="str">
        <f>INDEX('Raw Data'!$D$2:$D$410,MATCH(A87,'Raw Data'!$B$2:$B$410,0))</f>
        <v>LEGO Friends 42690 Forest Tea Party 42690</v>
      </c>
      <c r="C87" s="5" t="str">
        <f>INDEX('Raw Data'!$C$2:$C$410,MATCH(A87,'Raw Data'!$B$2:$B$410,0))</f>
        <v>Lego Friends</v>
      </c>
      <c r="D87" s="7">
        <f>_xlfn.MINIFS('Raw Data'!$E$2:$E$410,'Raw Data'!$B$2:$B$410,A87)</f>
        <v>7.38</v>
      </c>
      <c r="E87" s="5" t="str">
        <f>INDEX('Raw Data'!$A$2:$A$410,MATCH(1,INDEX(('Raw Data'!$B$2:$B$410=A87)*('Raw Data'!$E$2:$E$410=D87),0),0))</f>
        <v>Brickmo</v>
      </c>
      <c r="F87" s="7">
        <f>_xlfn.MAXIFS('Raw Data'!$E$2:$E$410,'Raw Data'!$B$2:$B$410,A87)</f>
        <v>9.94</v>
      </c>
      <c r="G87" s="5" t="str">
        <f>INDEX('Raw Data'!$A$2:$A$410,MATCH(1,INDEX(('Raw Data'!$B$2:$B$410=A87)*('Raw Data'!$E$2:$E$410=F87),0),0))</f>
        <v>bricksdirect</v>
      </c>
      <c r="H87" s="7">
        <f t="shared" si="1"/>
        <v>2.5599999999999996</v>
      </c>
      <c r="I87" s="5">
        <f>COUNTIF('Raw Data'!$B$2:$B$410,A87)</f>
        <v>3</v>
      </c>
    </row>
    <row r="88" spans="1:9" hidden="1" x14ac:dyDescent="0.35">
      <c r="A88" s="5">
        <v>42691</v>
      </c>
      <c r="B88" s="6" t="str">
        <f>INDEX('Raw Data'!$D$2:$D$410,MATCH(A88,'Raw Data'!$B$2:$B$410,0))</f>
        <v>LEGO 42691 Garden Restaurant</v>
      </c>
      <c r="C88" s="5" t="str">
        <f>INDEX('Raw Data'!$C$2:$C$410,MATCH(A88,'Raw Data'!$B$2:$B$410,0))</f>
        <v>Lego Friends</v>
      </c>
      <c r="D88" s="7">
        <f>_xlfn.MINIFS('Raw Data'!$E$2:$E$410,'Raw Data'!$B$2:$B$410,A88)</f>
        <v>170.24</v>
      </c>
      <c r="E88" s="5" t="str">
        <f>INDEX('Raw Data'!$A$2:$A$410,MATCH(1,INDEX(('Raw Data'!$B$2:$B$410=A88)*('Raw Data'!$E$2:$E$410=D88),0),0))</f>
        <v>bricksdirect</v>
      </c>
      <c r="F88" s="7">
        <f>_xlfn.MAXIFS('Raw Data'!$E$2:$E$410,'Raw Data'!$B$2:$B$410,A88)</f>
        <v>170.24</v>
      </c>
      <c r="G88" s="5" t="str">
        <f>INDEX('Raw Data'!$A$2:$A$410,MATCH(1,INDEX(('Raw Data'!$B$2:$B$410=A88)*('Raw Data'!$E$2:$E$410=F88),0),0))</f>
        <v>bricksdirect</v>
      </c>
      <c r="H88" s="7">
        <f t="shared" si="1"/>
        <v>0</v>
      </c>
      <c r="I88" s="5">
        <f>COUNTIF('Raw Data'!$B$2:$B$410,A88)</f>
        <v>1</v>
      </c>
    </row>
    <row r="89" spans="1:9" x14ac:dyDescent="0.35">
      <c r="A89" s="5">
        <v>42692</v>
      </c>
      <c r="B89" s="6" t="str">
        <f>INDEX('Raw Data'!$D$2:$D$410,MATCH(A89,'Raw Data'!$B$2:$B$410,0))</f>
        <v>LEGO Friends 42692 Ice Cream &amp; Balloon Stand 42692</v>
      </c>
      <c r="C89" s="5" t="str">
        <f>INDEX('Raw Data'!$C$2:$C$410,MATCH(A89,'Raw Data'!$B$2:$B$410,0))</f>
        <v>Lego Friends</v>
      </c>
      <c r="D89" s="7">
        <f>_xlfn.MINIFS('Raw Data'!$E$2:$E$410,'Raw Data'!$B$2:$B$410,A89)</f>
        <v>7.43</v>
      </c>
      <c r="E89" s="5" t="str">
        <f>INDEX('Raw Data'!$A$2:$A$410,MATCH(1,INDEX(('Raw Data'!$B$2:$B$410=A89)*('Raw Data'!$E$2:$E$410=D89),0),0))</f>
        <v>Brickmo</v>
      </c>
      <c r="F89" s="7">
        <f>_xlfn.MAXIFS('Raw Data'!$E$2:$E$410,'Raw Data'!$B$2:$B$410,A89)</f>
        <v>9.94</v>
      </c>
      <c r="G89" s="5" t="str">
        <f>INDEX('Raw Data'!$A$2:$A$410,MATCH(1,INDEX(('Raw Data'!$B$2:$B$410=A89)*('Raw Data'!$E$2:$E$410=F89),0),0))</f>
        <v>bricksdirect</v>
      </c>
      <c r="H89" s="7">
        <f t="shared" si="1"/>
        <v>2.5099999999999998</v>
      </c>
      <c r="I89" s="5">
        <f>COUNTIF('Raw Data'!$B$2:$B$410,A89)</f>
        <v>3</v>
      </c>
    </row>
    <row r="90" spans="1:9" x14ac:dyDescent="0.35">
      <c r="A90" s="5">
        <v>42693</v>
      </c>
      <c r="B90" s="6" t="str">
        <f>INDEX('Raw Data'!$D$2:$D$410,MATCH(A90,'Raw Data'!$B$2:$B$410,0))</f>
        <v>LEGO Friends 42693 Creative Flower Shop 42693</v>
      </c>
      <c r="C90" s="5" t="str">
        <f>INDEX('Raw Data'!$C$2:$C$410,MATCH(A90,'Raw Data'!$B$2:$B$410,0))</f>
        <v>Lego Friends</v>
      </c>
      <c r="D90" s="7">
        <f>_xlfn.MINIFS('Raw Data'!$E$2:$E$410,'Raw Data'!$B$2:$B$410,A90)</f>
        <v>21.99</v>
      </c>
      <c r="E90" s="5" t="str">
        <f>INDEX('Raw Data'!$A$2:$A$410,MATCH(1,INDEX(('Raw Data'!$B$2:$B$410=A90)*('Raw Data'!$E$2:$E$410=D90),0),0))</f>
        <v>Brickmo</v>
      </c>
      <c r="F90" s="7">
        <f>_xlfn.MAXIFS('Raw Data'!$E$2:$E$410,'Raw Data'!$B$2:$B$410,A90)</f>
        <v>28.73</v>
      </c>
      <c r="G90" s="5" t="str">
        <f>INDEX('Raw Data'!$A$2:$A$410,MATCH(1,INDEX(('Raw Data'!$B$2:$B$410=A90)*('Raw Data'!$E$2:$E$410=F90),0),0))</f>
        <v>bricksdirect</v>
      </c>
      <c r="H90" s="7">
        <f t="shared" si="1"/>
        <v>6.740000000000002</v>
      </c>
      <c r="I90" s="5">
        <f>COUNTIF('Raw Data'!$B$2:$B$410,A90)</f>
        <v>3</v>
      </c>
    </row>
    <row r="91" spans="1:9" x14ac:dyDescent="0.35">
      <c r="A91" s="5">
        <v>42694</v>
      </c>
      <c r="B91" s="6" t="str">
        <f>INDEX('Raw Data'!$D$2:$D$410,MATCH(A91,'Raw Data'!$B$2:$B$410,0))</f>
        <v>LEGO Friends 42694 Pizza Truck 42694</v>
      </c>
      <c r="C91" s="5" t="str">
        <f>INDEX('Raw Data'!$C$2:$C$410,MATCH(A91,'Raw Data'!$B$2:$B$410,0))</f>
        <v>Lego Friends</v>
      </c>
      <c r="D91" s="7">
        <f>_xlfn.MINIFS('Raw Data'!$E$2:$E$410,'Raw Data'!$B$2:$B$410,A91)</f>
        <v>11.02</v>
      </c>
      <c r="E91" s="5" t="str">
        <f>INDEX('Raw Data'!$A$2:$A$410,MATCH(1,INDEX(('Raw Data'!$B$2:$B$410=A91)*('Raw Data'!$E$2:$E$410=D91),0),0))</f>
        <v>Brickmo</v>
      </c>
      <c r="F91" s="7">
        <f>_xlfn.MAXIFS('Raw Data'!$E$2:$E$410,'Raw Data'!$B$2:$B$410,A91)</f>
        <v>14.36</v>
      </c>
      <c r="G91" s="5" t="str">
        <f>INDEX('Raw Data'!$A$2:$A$410,MATCH(1,INDEX(('Raw Data'!$B$2:$B$410=A91)*('Raw Data'!$E$2:$E$410=F91),0),0))</f>
        <v>bricksdirect</v>
      </c>
      <c r="H91" s="7">
        <f t="shared" si="1"/>
        <v>3.34</v>
      </c>
      <c r="I91" s="5">
        <f>COUNTIF('Raw Data'!$B$2:$B$410,A91)</f>
        <v>3</v>
      </c>
    </row>
    <row r="92" spans="1:9" x14ac:dyDescent="0.35">
      <c r="A92" s="5">
        <v>42695</v>
      </c>
      <c r="B92" s="6" t="str">
        <f>INDEX('Raw Data'!$D$2:$D$410,MATCH(A92,'Raw Data'!$B$2:$B$410,0))</f>
        <v>LEGO Friends 42695 Horse &amp; Baby Foal Trailer 42695</v>
      </c>
      <c r="C92" s="5" t="str">
        <f>INDEX('Raw Data'!$C$2:$C$410,MATCH(A92,'Raw Data'!$B$2:$B$410,0))</f>
        <v>Lego Friends</v>
      </c>
      <c r="D92" s="7">
        <f>_xlfn.MINIFS('Raw Data'!$E$2:$E$410,'Raw Data'!$B$2:$B$410,A92)</f>
        <v>22.09</v>
      </c>
      <c r="E92" s="5" t="str">
        <f>INDEX('Raw Data'!$A$2:$A$410,MATCH(1,INDEX(('Raw Data'!$B$2:$B$410=A92)*('Raw Data'!$E$2:$E$410=D92),0),0))</f>
        <v>Brickmo</v>
      </c>
      <c r="F92" s="7">
        <f>_xlfn.MAXIFS('Raw Data'!$E$2:$E$410,'Raw Data'!$B$2:$B$410,A92)</f>
        <v>29.27</v>
      </c>
      <c r="G92" s="5" t="str">
        <f>INDEX('Raw Data'!$A$2:$A$410,MATCH(1,INDEX(('Raw Data'!$B$2:$B$410=A92)*('Raw Data'!$E$2:$E$410=F92),0),0))</f>
        <v>Zavvi</v>
      </c>
      <c r="H92" s="7">
        <f t="shared" si="1"/>
        <v>7.18</v>
      </c>
      <c r="I92" s="5">
        <f>COUNTIF('Raw Data'!$B$2:$B$410,A92)</f>
        <v>4</v>
      </c>
    </row>
    <row r="93" spans="1:9" x14ac:dyDescent="0.35">
      <c r="A93" s="5">
        <v>42696</v>
      </c>
      <c r="B93" s="6" t="str">
        <f>INDEX('Raw Data'!$D$2:$D$410,MATCH(A93,'Raw Data'!$B$2:$B$410,0))</f>
        <v>LEGO 42696 Animal Vet Clinic</v>
      </c>
      <c r="C93" s="5" t="str">
        <f>INDEX('Raw Data'!$C$2:$C$410,MATCH(A93,'Raw Data'!$B$2:$B$410,0))</f>
        <v>Lego Friends</v>
      </c>
      <c r="D93" s="7">
        <f>_xlfn.MINIFS('Raw Data'!$E$2:$E$410,'Raw Data'!$B$2:$B$410,A93)</f>
        <v>25.49</v>
      </c>
      <c r="E93" s="5" t="str">
        <f>INDEX('Raw Data'!$A$2:$A$410,MATCH(1,INDEX(('Raw Data'!$B$2:$B$410=A93)*('Raw Data'!$E$2:$E$410=D93),0),0))</f>
        <v>JB Spielwaren</v>
      </c>
      <c r="F93" s="7">
        <f>_xlfn.MAXIFS('Raw Data'!$E$2:$E$410,'Raw Data'!$B$2:$B$410,A93)</f>
        <v>29.27</v>
      </c>
      <c r="G93" s="5" t="str">
        <f>INDEX('Raw Data'!$A$2:$A$410,MATCH(1,INDEX(('Raw Data'!$B$2:$B$410=A93)*('Raw Data'!$E$2:$E$410=F93),0),0))</f>
        <v>Zavvi</v>
      </c>
      <c r="H93" s="7">
        <f t="shared" si="1"/>
        <v>3.7800000000000011</v>
      </c>
      <c r="I93" s="5">
        <f>COUNTIF('Raw Data'!$B$2:$B$410,A93)</f>
        <v>3</v>
      </c>
    </row>
    <row r="94" spans="1:9" x14ac:dyDescent="0.35">
      <c r="A94" s="5">
        <v>42697</v>
      </c>
      <c r="B94" s="6" t="str">
        <f>INDEX('Raw Data'!$D$2:$D$410,MATCH(A94,'Raw Data'!$B$2:$B$410,0))</f>
        <v>LEGO Friends 42697 Creative Dollhouse Suitcase...</v>
      </c>
      <c r="C94" s="5" t="str">
        <f>INDEX('Raw Data'!$C$2:$C$410,MATCH(A94,'Raw Data'!$B$2:$B$410,0))</f>
        <v>Lego Friends</v>
      </c>
      <c r="D94" s="7">
        <f>_xlfn.MINIFS('Raw Data'!$E$2:$E$410,'Raw Data'!$B$2:$B$410,A94)</f>
        <v>38.590000000000003</v>
      </c>
      <c r="E94" s="5" t="str">
        <f>INDEX('Raw Data'!$A$2:$A$410,MATCH(1,INDEX(('Raw Data'!$B$2:$B$410=A94)*('Raw Data'!$E$2:$E$410=D94),0),0))</f>
        <v>Brickmo</v>
      </c>
      <c r="F94" s="7">
        <f>_xlfn.MAXIFS('Raw Data'!$E$2:$E$410,'Raw Data'!$B$2:$B$410,A94)</f>
        <v>47.53</v>
      </c>
      <c r="G94" s="5" t="str">
        <f>INDEX('Raw Data'!$A$2:$A$410,MATCH(1,INDEX(('Raw Data'!$B$2:$B$410=A94)*('Raw Data'!$E$2:$E$410=F94),0),0))</f>
        <v>bricksdirect</v>
      </c>
      <c r="H94" s="7">
        <f t="shared" si="1"/>
        <v>8.9399999999999977</v>
      </c>
      <c r="I94" s="5">
        <f>COUNTIF('Raw Data'!$B$2:$B$410,A94)</f>
        <v>3</v>
      </c>
    </row>
    <row r="95" spans="1:9" x14ac:dyDescent="0.35">
      <c r="A95" s="5">
        <v>42698</v>
      </c>
      <c r="B95" s="6" t="str">
        <f>INDEX('Raw Data'!$D$2:$D$410,MATCH(A95,'Raw Data'!$B$2:$B$410,0))</f>
        <v>LEGO Friends 42698 Advent Calendar 2026 42698</v>
      </c>
      <c r="C95" s="5" t="str">
        <f>INDEX('Raw Data'!$C$2:$C$410,MATCH(A95,'Raw Data'!$B$2:$B$410,0))</f>
        <v>Lego Friends</v>
      </c>
      <c r="D95" s="7">
        <f>_xlfn.MINIFS('Raw Data'!$E$2:$E$410,'Raw Data'!$B$2:$B$410,A95)</f>
        <v>19.78</v>
      </c>
      <c r="E95" s="5" t="str">
        <f>INDEX('Raw Data'!$A$2:$A$410,MATCH(1,INDEX(('Raw Data'!$B$2:$B$410=A95)*('Raw Data'!$E$2:$E$410=D95),0),0))</f>
        <v>Brickmo</v>
      </c>
      <c r="F95" s="7">
        <f>_xlfn.MAXIFS('Raw Data'!$E$2:$E$410,'Raw Data'!$B$2:$B$410,A95)</f>
        <v>25.42</v>
      </c>
      <c r="G95" s="5" t="str">
        <f>INDEX('Raw Data'!$A$2:$A$410,MATCH(1,INDEX(('Raw Data'!$B$2:$B$410=A95)*('Raw Data'!$E$2:$E$410=F95),0),0))</f>
        <v>bricksdirect</v>
      </c>
      <c r="H95" s="7">
        <f t="shared" si="1"/>
        <v>5.6400000000000006</v>
      </c>
      <c r="I95" s="5">
        <f>COUNTIF('Raw Data'!$B$2:$B$410,A95)</f>
        <v>3</v>
      </c>
    </row>
    <row r="96" spans="1:9" x14ac:dyDescent="0.35">
      <c r="A96" s="5">
        <v>42699</v>
      </c>
      <c r="B96" s="6" t="str">
        <f>INDEX('Raw Data'!$D$2:$D$410,MATCH(A96,'Raw Data'!$B$2:$B$410,0))</f>
        <v>LEGO 42699 Beach House with Seals</v>
      </c>
      <c r="C96" s="5" t="str">
        <f>INDEX('Raw Data'!$C$2:$C$410,MATCH(A96,'Raw Data'!$B$2:$B$410,0))</f>
        <v>Lego Friends</v>
      </c>
      <c r="D96" s="7">
        <f>_xlfn.MINIFS('Raw Data'!$E$2:$E$410,'Raw Data'!$B$2:$B$410,A96)</f>
        <v>42.49</v>
      </c>
      <c r="E96" s="5" t="str">
        <f>INDEX('Raw Data'!$A$2:$A$410,MATCH(1,INDEX(('Raw Data'!$B$2:$B$410=A96)*('Raw Data'!$E$2:$E$410=D96),0),0))</f>
        <v>JB Spielwaren</v>
      </c>
      <c r="F96" s="7">
        <f>_xlfn.MAXIFS('Raw Data'!$E$2:$E$410,'Raw Data'!$B$2:$B$410,A96)</f>
        <v>55.26</v>
      </c>
      <c r="G96" s="5" t="str">
        <f>INDEX('Raw Data'!$A$2:$A$410,MATCH(1,INDEX(('Raw Data'!$B$2:$B$410=A96)*('Raw Data'!$E$2:$E$410=F96),0),0))</f>
        <v>bricksdirect</v>
      </c>
      <c r="H96" s="7">
        <f t="shared" si="1"/>
        <v>12.769999999999996</v>
      </c>
      <c r="I96" s="5">
        <f>COUNTIF('Raw Data'!$B$2:$B$410,A96)</f>
        <v>3</v>
      </c>
    </row>
    <row r="97" spans="1:9" x14ac:dyDescent="0.35">
      <c r="A97" s="5">
        <v>42700</v>
      </c>
      <c r="B97" s="6" t="str">
        <f>INDEX('Raw Data'!$D$2:$D$410,MATCH(A97,'Raw Data'!$B$2:$B$410,0))</f>
        <v>LEGO Friends 42700 Candy &amp; Cupcake Ferris Wheel...</v>
      </c>
      <c r="C97" s="5" t="str">
        <f>INDEX('Raw Data'!$C$2:$C$410,MATCH(A97,'Raw Data'!$B$2:$B$410,0))</f>
        <v>Lego Friends</v>
      </c>
      <c r="D97" s="7">
        <f>_xlfn.MINIFS('Raw Data'!$E$2:$E$410,'Raw Data'!$B$2:$B$410,A97)</f>
        <v>46.33</v>
      </c>
      <c r="E97" s="5" t="str">
        <f>INDEX('Raw Data'!$A$2:$A$410,MATCH(1,INDEX(('Raw Data'!$B$2:$B$410=A97)*('Raw Data'!$E$2:$E$410=D97),0),0))</f>
        <v>Brickmo</v>
      </c>
      <c r="F97" s="7">
        <f>_xlfn.MAXIFS('Raw Data'!$E$2:$E$410,'Raw Data'!$B$2:$B$410,A97)</f>
        <v>56.37</v>
      </c>
      <c r="G97" s="5" t="str">
        <f>INDEX('Raw Data'!$A$2:$A$410,MATCH(1,INDEX(('Raw Data'!$B$2:$B$410=A97)*('Raw Data'!$E$2:$E$410=F97),0),0))</f>
        <v>bricksdirect</v>
      </c>
      <c r="H97" s="7">
        <f t="shared" si="1"/>
        <v>10.039999999999999</v>
      </c>
      <c r="I97" s="5">
        <f>COUNTIF('Raw Data'!$B$2:$B$410,A97)</f>
        <v>3</v>
      </c>
    </row>
    <row r="98" spans="1:9" hidden="1" x14ac:dyDescent="0.35">
      <c r="A98" s="5">
        <v>42701</v>
      </c>
      <c r="B98" s="6" t="str">
        <f>INDEX('Raw Data'!$D$2:$D$410,MATCH(A98,'Raw Data'!$B$2:$B$410,0))</f>
        <v>LEGO 42701 Koala Habitat &amp; Care Center</v>
      </c>
      <c r="C98" s="5" t="str">
        <f>INDEX('Raw Data'!$C$2:$C$410,MATCH(A98,'Raw Data'!$B$2:$B$410,0))</f>
        <v>Lego Friends</v>
      </c>
      <c r="D98" s="7">
        <f>_xlfn.MINIFS('Raw Data'!$E$2:$E$410,'Raw Data'!$B$2:$B$410,A98)</f>
        <v>82.9</v>
      </c>
      <c r="E98" s="5" t="str">
        <f>INDEX('Raw Data'!$A$2:$A$410,MATCH(1,INDEX(('Raw Data'!$B$2:$B$410=A98)*('Raw Data'!$E$2:$E$410=D98),0),0))</f>
        <v>bricksdirect</v>
      </c>
      <c r="F98" s="7">
        <f>_xlfn.MAXIFS('Raw Data'!$E$2:$E$410,'Raw Data'!$B$2:$B$410,A98)</f>
        <v>82.9</v>
      </c>
      <c r="G98" s="5" t="str">
        <f>INDEX('Raw Data'!$A$2:$A$410,MATCH(1,INDEX(('Raw Data'!$B$2:$B$410=A98)*('Raw Data'!$E$2:$E$410=F98),0),0))</f>
        <v>bricksdirect</v>
      </c>
      <c r="H98" s="7">
        <f t="shared" si="1"/>
        <v>0</v>
      </c>
      <c r="I98" s="5">
        <f>COUNTIF('Raw Data'!$B$2:$B$410,A98)</f>
        <v>1</v>
      </c>
    </row>
    <row r="99" spans="1:9" x14ac:dyDescent="0.35">
      <c r="A99" s="5">
        <v>42702</v>
      </c>
      <c r="B99" s="6" t="str">
        <f>INDEX('Raw Data'!$D$2:$D$410,MATCH(A99,'Raw Data'!$B$2:$B$410,0))</f>
        <v>LEGO Friends 42702 Spinning Flower &amp; Fairy...</v>
      </c>
      <c r="C99" s="5" t="str">
        <f>INDEX('Raw Data'!$C$2:$C$410,MATCH(A99,'Raw Data'!$B$2:$B$410,0))</f>
        <v>Lego Friends</v>
      </c>
      <c r="D99" s="7">
        <f>_xlfn.MINIFS('Raw Data'!$E$2:$E$410,'Raw Data'!$B$2:$B$410,A99)</f>
        <v>30.9</v>
      </c>
      <c r="E99" s="5" t="str">
        <f>INDEX('Raw Data'!$A$2:$A$410,MATCH(1,INDEX(('Raw Data'!$B$2:$B$410=A99)*('Raw Data'!$E$2:$E$410=D99),0),0))</f>
        <v>Brickmo</v>
      </c>
      <c r="F99" s="7">
        <f>_xlfn.MAXIFS('Raw Data'!$E$2:$E$410,'Raw Data'!$B$2:$B$410,A99)</f>
        <v>37.58</v>
      </c>
      <c r="G99" s="5" t="str">
        <f>INDEX('Raw Data'!$A$2:$A$410,MATCH(1,INDEX(('Raw Data'!$B$2:$B$410=A99)*('Raw Data'!$E$2:$E$410=F99),0),0))</f>
        <v>bricksdirect</v>
      </c>
      <c r="H99" s="7">
        <f t="shared" si="1"/>
        <v>6.68</v>
      </c>
      <c r="I99" s="5">
        <f>COUNTIF('Raw Data'!$B$2:$B$410,A99)</f>
        <v>3</v>
      </c>
    </row>
    <row r="100" spans="1:9" x14ac:dyDescent="0.35">
      <c r="A100" s="5">
        <v>42703</v>
      </c>
      <c r="B100" s="6" t="str">
        <f>INDEX('Raw Data'!$D$2:$D$410,MATCH(A100,'Raw Data'!$B$2:$B$410,0))</f>
        <v>LEGO Friends 42703 Mermaid Roller Coaster Ride...</v>
      </c>
      <c r="C100" s="5" t="str">
        <f>INDEX('Raw Data'!$C$2:$C$410,MATCH(A100,'Raw Data'!$B$2:$B$410,0))</f>
        <v>Lego Friends</v>
      </c>
      <c r="D100" s="7">
        <f>_xlfn.MINIFS('Raw Data'!$E$2:$E$410,'Raw Data'!$B$2:$B$410,A100)</f>
        <v>77.23</v>
      </c>
      <c r="E100" s="5" t="str">
        <f>INDEX('Raw Data'!$A$2:$A$410,MATCH(1,INDEX(('Raw Data'!$B$2:$B$410=A100)*('Raw Data'!$E$2:$E$410=D100),0),0))</f>
        <v>Brickmo</v>
      </c>
      <c r="F100" s="7">
        <f>_xlfn.MAXIFS('Raw Data'!$E$2:$E$410,'Raw Data'!$B$2:$B$410,A100)</f>
        <v>93.96</v>
      </c>
      <c r="G100" s="5" t="str">
        <f>INDEX('Raw Data'!$A$2:$A$410,MATCH(1,INDEX(('Raw Data'!$B$2:$B$410=A100)*('Raw Data'!$E$2:$E$410=F100),0),0))</f>
        <v>bricksdirect</v>
      </c>
      <c r="H100" s="7">
        <f t="shared" si="1"/>
        <v>16.72999999999999</v>
      </c>
      <c r="I100" s="5">
        <f>COUNTIF('Raw Data'!$B$2:$B$410,A100)</f>
        <v>3</v>
      </c>
    </row>
    <row r="101" spans="1:9" x14ac:dyDescent="0.35">
      <c r="A101" s="5">
        <v>42704</v>
      </c>
      <c r="B101" s="6" t="str">
        <f>INDEX('Raw Data'!$D$2:$D$410,MATCH(A101,'Raw Data'!$B$2:$B$410,0))</f>
        <v>LEGO Friends 42704 Heartlake City Grand Hotel...</v>
      </c>
      <c r="C101" s="5" t="str">
        <f>INDEX('Raw Data'!$C$2:$C$410,MATCH(A101,'Raw Data'!$B$2:$B$410,0))</f>
        <v>Lego Friends</v>
      </c>
      <c r="D101" s="7">
        <f>_xlfn.MINIFS('Raw Data'!$E$2:$E$410,'Raw Data'!$B$2:$B$410,A101)</f>
        <v>121.05</v>
      </c>
      <c r="E101" s="5" t="str">
        <f>INDEX('Raw Data'!$A$2:$A$410,MATCH(1,INDEX(('Raw Data'!$B$2:$B$410=A101)*('Raw Data'!$E$2:$E$410=D101),0),0))</f>
        <v>Brickmo</v>
      </c>
      <c r="F101" s="7">
        <f>_xlfn.MAXIFS('Raw Data'!$E$2:$E$410,'Raw Data'!$B$2:$B$410,A101)</f>
        <v>141.49</v>
      </c>
      <c r="G101" s="5" t="str">
        <f>INDEX('Raw Data'!$A$2:$A$410,MATCH(1,INDEX(('Raw Data'!$B$2:$B$410=A101)*('Raw Data'!$E$2:$E$410=F101),0),0))</f>
        <v>bricksdirect</v>
      </c>
      <c r="H101" s="7">
        <f t="shared" si="1"/>
        <v>20.440000000000012</v>
      </c>
      <c r="I101" s="5">
        <f>COUNTIF('Raw Data'!$B$2:$B$410,A101)</f>
        <v>3</v>
      </c>
    </row>
    <row r="102" spans="1:9" x14ac:dyDescent="0.35">
      <c r="A102" s="5">
        <v>42705</v>
      </c>
      <c r="B102" s="6" t="str">
        <f>INDEX('Raw Data'!$D$2:$D$410,MATCH(A102,'Raw Data'!$B$2:$B$410,0))</f>
        <v>LEGO Friends 42705 Cozy Fall Forest Cabin 42705</v>
      </c>
      <c r="C102" s="5" t="str">
        <f>INDEX('Raw Data'!$C$2:$C$410,MATCH(A102,'Raw Data'!$B$2:$B$410,0))</f>
        <v>Lego Friends</v>
      </c>
      <c r="D102" s="7">
        <f>_xlfn.MINIFS('Raw Data'!$E$2:$E$410,'Raw Data'!$B$2:$B$410,A102)</f>
        <v>77.23</v>
      </c>
      <c r="E102" s="5" t="str">
        <f>INDEX('Raw Data'!$A$2:$A$410,MATCH(1,INDEX(('Raw Data'!$B$2:$B$410=A102)*('Raw Data'!$E$2:$E$410=D102),0),0))</f>
        <v>Brickmo</v>
      </c>
      <c r="F102" s="7">
        <f>_xlfn.MAXIFS('Raw Data'!$E$2:$E$410,'Raw Data'!$B$2:$B$410,A102)</f>
        <v>93.96</v>
      </c>
      <c r="G102" s="5" t="str">
        <f>INDEX('Raw Data'!$A$2:$A$410,MATCH(1,INDEX(('Raw Data'!$B$2:$B$410=A102)*('Raw Data'!$E$2:$E$410=F102),0),0))</f>
        <v>bricksdirect</v>
      </c>
      <c r="H102" s="7">
        <f t="shared" si="1"/>
        <v>16.72999999999999</v>
      </c>
      <c r="I102" s="5">
        <f>COUNTIF('Raw Data'!$B$2:$B$410,A102)</f>
        <v>3</v>
      </c>
    </row>
    <row r="103" spans="1:9" hidden="1" x14ac:dyDescent="0.35">
      <c r="A103" s="5">
        <v>43018</v>
      </c>
      <c r="B103" s="6" t="str">
        <f>INDEX('Raw Data'!$D$2:$D$410,MATCH(A103,'Raw Data'!$B$2:$B$410,0))</f>
        <v>LEGO Editions 43018 Lionel Messi – Celebration...</v>
      </c>
      <c r="C103" s="5" t="str">
        <f>INDEX('Raw Data'!$C$2:$C$410,MATCH(A103,'Raw Data'!$B$2:$B$410,0))</f>
        <v>Lego Icons</v>
      </c>
      <c r="D103" s="7">
        <f>_xlfn.MINIFS('Raw Data'!$E$2:$E$410,'Raw Data'!$B$2:$B$410,A103)</f>
        <v>148.57</v>
      </c>
      <c r="E103" s="5" t="str">
        <f>INDEX('Raw Data'!$A$2:$A$410,MATCH(1,INDEX(('Raw Data'!$B$2:$B$410=A103)*('Raw Data'!$E$2:$E$410=D103),0),0))</f>
        <v>Brickmo</v>
      </c>
      <c r="F103" s="7">
        <f>_xlfn.MAXIFS('Raw Data'!$E$2:$E$410,'Raw Data'!$B$2:$B$410,A103)</f>
        <v>148.57</v>
      </c>
      <c r="G103" s="5" t="str">
        <f>INDEX('Raw Data'!$A$2:$A$410,MATCH(1,INDEX(('Raw Data'!$B$2:$B$410=A103)*('Raw Data'!$E$2:$E$410=F103),0),0))</f>
        <v>Brickmo</v>
      </c>
      <c r="H103" s="7">
        <f t="shared" si="1"/>
        <v>0</v>
      </c>
      <c r="I103" s="5">
        <f>COUNTIF('Raw Data'!$B$2:$B$410,A103)</f>
        <v>1</v>
      </c>
    </row>
    <row r="104" spans="1:9" hidden="1" x14ac:dyDescent="0.35">
      <c r="A104" s="5">
        <v>60205</v>
      </c>
      <c r="B104" s="6" t="str">
        <f>INDEX('Raw Data'!$D$2:$D$410,MATCH(A104,'Raw Data'!$B$2:$B$410,0))</f>
        <v>LEGO City 60205 Tracks 60205</v>
      </c>
      <c r="C104" s="5" t="str">
        <f>INDEX('Raw Data'!$C$2:$C$410,MATCH(A104,'Raw Data'!$B$2:$B$410,0))</f>
        <v>Lego City</v>
      </c>
      <c r="D104" s="7">
        <f>_xlfn.MINIFS('Raw Data'!$E$2:$E$410,'Raw Data'!$B$2:$B$410,A104)</f>
        <v>15.36</v>
      </c>
      <c r="E104" s="5" t="str">
        <f>INDEX('Raw Data'!$A$2:$A$410,MATCH(1,INDEX(('Raw Data'!$B$2:$B$410=A104)*('Raw Data'!$E$2:$E$410=D104),0),0))</f>
        <v>Brickmo</v>
      </c>
      <c r="F104" s="7">
        <f>_xlfn.MAXIFS('Raw Data'!$E$2:$E$410,'Raw Data'!$B$2:$B$410,A104)</f>
        <v>15.36</v>
      </c>
      <c r="G104" s="5" t="str">
        <f>INDEX('Raw Data'!$A$2:$A$410,MATCH(1,INDEX(('Raw Data'!$B$2:$B$410=A104)*('Raw Data'!$E$2:$E$410=F104),0),0))</f>
        <v>Brickmo</v>
      </c>
      <c r="H104" s="7">
        <f t="shared" si="1"/>
        <v>0</v>
      </c>
      <c r="I104" s="5">
        <f>COUNTIF('Raw Data'!$B$2:$B$410,A104)</f>
        <v>1</v>
      </c>
    </row>
    <row r="105" spans="1:9" hidden="1" x14ac:dyDescent="0.35">
      <c r="A105" s="5">
        <v>60312</v>
      </c>
      <c r="B105" s="6" t="str">
        <f>INDEX('Raw Data'!$D$2:$D$410,MATCH(A105,'Raw Data'!$B$2:$B$410,0))</f>
        <v>LEGO City 60312 Police Car 60312</v>
      </c>
      <c r="C105" s="5" t="str">
        <f>INDEX('Raw Data'!$C$2:$C$410,MATCH(A105,'Raw Data'!$B$2:$B$410,0))</f>
        <v>Lego City</v>
      </c>
      <c r="D105" s="7">
        <f>_xlfn.MINIFS('Raw Data'!$E$2:$E$410,'Raw Data'!$B$2:$B$410,A105)</f>
        <v>8.19</v>
      </c>
      <c r="E105" s="5" t="str">
        <f>INDEX('Raw Data'!$A$2:$A$410,MATCH(1,INDEX(('Raw Data'!$B$2:$B$410=A105)*('Raw Data'!$E$2:$E$410=D105),0),0))</f>
        <v>Brickmo</v>
      </c>
      <c r="F105" s="7">
        <f>_xlfn.MAXIFS('Raw Data'!$E$2:$E$410,'Raw Data'!$B$2:$B$410,A105)</f>
        <v>8.19</v>
      </c>
      <c r="G105" s="5" t="str">
        <f>INDEX('Raw Data'!$A$2:$A$410,MATCH(1,INDEX(('Raw Data'!$B$2:$B$410=A105)*('Raw Data'!$E$2:$E$410=F105),0),0))</f>
        <v>Brickmo</v>
      </c>
      <c r="H105" s="7">
        <f t="shared" si="1"/>
        <v>0</v>
      </c>
      <c r="I105" s="5">
        <f>COUNTIF('Raw Data'!$B$2:$B$410,A105)</f>
        <v>1</v>
      </c>
    </row>
    <row r="106" spans="1:9" hidden="1" x14ac:dyDescent="0.35">
      <c r="A106" s="5">
        <v>60368</v>
      </c>
      <c r="B106" s="6" t="str">
        <f>INDEX('Raw Data'!$D$2:$D$410,MATCH(A106,'Raw Data'!$B$2:$B$410,0))</f>
        <v>LEGO City 60368 Arctic Explorer Ship 60368</v>
      </c>
      <c r="C106" s="5" t="str">
        <f>INDEX('Raw Data'!$C$2:$C$410,MATCH(A106,'Raw Data'!$B$2:$B$410,0))</f>
        <v>Lego City</v>
      </c>
      <c r="D106" s="7">
        <f>_xlfn.MINIFS('Raw Data'!$E$2:$E$410,'Raw Data'!$B$2:$B$410,A106)</f>
        <v>152.72999999999999</v>
      </c>
      <c r="E106" s="5" t="str">
        <f>INDEX('Raw Data'!$A$2:$A$410,MATCH(1,INDEX(('Raw Data'!$B$2:$B$410=A106)*('Raw Data'!$E$2:$E$410=D106),0),0))</f>
        <v>Brickmo</v>
      </c>
      <c r="F106" s="7">
        <f>_xlfn.MAXIFS('Raw Data'!$E$2:$E$410,'Raw Data'!$B$2:$B$410,A106)</f>
        <v>152.72999999999999</v>
      </c>
      <c r="G106" s="5" t="str">
        <f>INDEX('Raw Data'!$A$2:$A$410,MATCH(1,INDEX(('Raw Data'!$B$2:$B$410=A106)*('Raw Data'!$E$2:$E$410=F106),0),0))</f>
        <v>Brickmo</v>
      </c>
      <c r="H106" s="7">
        <f t="shared" si="1"/>
        <v>0</v>
      </c>
      <c r="I106" s="5">
        <f>COUNTIF('Raw Data'!$B$2:$B$410,A106)</f>
        <v>1</v>
      </c>
    </row>
    <row r="107" spans="1:9" hidden="1" x14ac:dyDescent="0.35">
      <c r="A107" s="5">
        <v>60373</v>
      </c>
      <c r="B107" s="6" t="str">
        <f>INDEX('Raw Data'!$D$2:$D$410,MATCH(A107,'Raw Data'!$B$2:$B$410,0))</f>
        <v>LEGO City 60373 Fire Rescue Boat 60373</v>
      </c>
      <c r="C107" s="5" t="str">
        <f>INDEX('Raw Data'!$C$2:$C$410,MATCH(A107,'Raw Data'!$B$2:$B$410,0))</f>
        <v>Lego City</v>
      </c>
      <c r="D107" s="7">
        <f>_xlfn.MINIFS('Raw Data'!$E$2:$E$410,'Raw Data'!$B$2:$B$410,A107)</f>
        <v>15.36</v>
      </c>
      <c r="E107" s="5" t="str">
        <f>INDEX('Raw Data'!$A$2:$A$410,MATCH(1,INDEX(('Raw Data'!$B$2:$B$410=A107)*('Raw Data'!$E$2:$E$410=D107),0),0))</f>
        <v>Brickmo</v>
      </c>
      <c r="F107" s="7">
        <f>_xlfn.MAXIFS('Raw Data'!$E$2:$E$410,'Raw Data'!$B$2:$B$410,A107)</f>
        <v>15.36</v>
      </c>
      <c r="G107" s="5" t="str">
        <f>INDEX('Raw Data'!$A$2:$A$410,MATCH(1,INDEX(('Raw Data'!$B$2:$B$410=A107)*('Raw Data'!$E$2:$E$410=F107),0),0))</f>
        <v>Brickmo</v>
      </c>
      <c r="H107" s="7">
        <f t="shared" si="1"/>
        <v>0</v>
      </c>
      <c r="I107" s="5">
        <f>COUNTIF('Raw Data'!$B$2:$B$410,A107)</f>
        <v>1</v>
      </c>
    </row>
    <row r="108" spans="1:9" hidden="1" x14ac:dyDescent="0.35">
      <c r="A108" s="5">
        <v>60404</v>
      </c>
      <c r="B108" s="6" t="str">
        <f>INDEX('Raw Data'!$D$2:$D$410,MATCH(A108,'Raw Data'!$B$2:$B$410,0))</f>
        <v>LEGO City 60404 Burger Truck 60404</v>
      </c>
      <c r="C108" s="5" t="str">
        <f>INDEX('Raw Data'!$C$2:$C$410,MATCH(A108,'Raw Data'!$B$2:$B$410,0))</f>
        <v>Lego City</v>
      </c>
      <c r="D108" s="7">
        <f>_xlfn.MINIFS('Raw Data'!$E$2:$E$410,'Raw Data'!$B$2:$B$410,A108)</f>
        <v>16.39</v>
      </c>
      <c r="E108" s="5" t="str">
        <f>INDEX('Raw Data'!$A$2:$A$410,MATCH(1,INDEX(('Raw Data'!$B$2:$B$410=A108)*('Raw Data'!$E$2:$E$410=D108),0),0))</f>
        <v>Brickmo</v>
      </c>
      <c r="F108" s="7">
        <f>_xlfn.MAXIFS('Raw Data'!$E$2:$E$410,'Raw Data'!$B$2:$B$410,A108)</f>
        <v>16.39</v>
      </c>
      <c r="G108" s="5" t="str">
        <f>INDEX('Raw Data'!$A$2:$A$410,MATCH(1,INDEX(('Raw Data'!$B$2:$B$410=A108)*('Raw Data'!$E$2:$E$410=F108),0),0))</f>
        <v>Brickmo</v>
      </c>
      <c r="H108" s="7">
        <f t="shared" si="1"/>
        <v>0</v>
      </c>
      <c r="I108" s="5">
        <f>COUNTIF('Raw Data'!$B$2:$B$410,A108)</f>
        <v>1</v>
      </c>
    </row>
    <row r="109" spans="1:9" hidden="1" x14ac:dyDescent="0.35">
      <c r="A109" s="5">
        <v>60414</v>
      </c>
      <c r="B109" s="6" t="str">
        <f>INDEX('Raw Data'!$D$2:$D$410,MATCH(A109,'Raw Data'!$B$2:$B$410,0))</f>
        <v>LEGO City 60414 Fire Station with Fire Truck 60414</v>
      </c>
      <c r="C109" s="5" t="str">
        <f>INDEX('Raw Data'!$C$2:$C$410,MATCH(A109,'Raw Data'!$B$2:$B$410,0))</f>
        <v>Lego City</v>
      </c>
      <c r="D109" s="7">
        <f>_xlfn.MINIFS('Raw Data'!$E$2:$E$410,'Raw Data'!$B$2:$B$410,A109)</f>
        <v>61.45</v>
      </c>
      <c r="E109" s="5" t="str">
        <f>INDEX('Raw Data'!$A$2:$A$410,MATCH(1,INDEX(('Raw Data'!$B$2:$B$410=A109)*('Raw Data'!$E$2:$E$410=D109),0),0))</f>
        <v>Brickmo</v>
      </c>
      <c r="F109" s="7">
        <f>_xlfn.MAXIFS('Raw Data'!$E$2:$E$410,'Raw Data'!$B$2:$B$410,A109)</f>
        <v>61.45</v>
      </c>
      <c r="G109" s="5" t="str">
        <f>INDEX('Raw Data'!$A$2:$A$410,MATCH(1,INDEX(('Raw Data'!$B$2:$B$410=A109)*('Raw Data'!$E$2:$E$410=F109),0),0))</f>
        <v>Brickmo</v>
      </c>
      <c r="H109" s="7">
        <f t="shared" si="1"/>
        <v>0</v>
      </c>
      <c r="I109" s="5">
        <f>COUNTIF('Raw Data'!$B$2:$B$410,A109)</f>
        <v>1</v>
      </c>
    </row>
    <row r="110" spans="1:9" hidden="1" x14ac:dyDescent="0.35">
      <c r="A110" s="5">
        <v>60419</v>
      </c>
      <c r="B110" s="6" t="str">
        <f>INDEX('Raw Data'!$D$2:$D$410,MATCH(A110,'Raw Data'!$B$2:$B$410,0))</f>
        <v>LEGO City 60419 Police Prison Island 60419</v>
      </c>
      <c r="C110" s="5" t="str">
        <f>INDEX('Raw Data'!$C$2:$C$410,MATCH(A110,'Raw Data'!$B$2:$B$410,0))</f>
        <v>Lego City</v>
      </c>
      <c r="D110" s="7">
        <f>_xlfn.MINIFS('Raw Data'!$E$2:$E$410,'Raw Data'!$B$2:$B$410,A110)</f>
        <v>77.849999999999994</v>
      </c>
      <c r="E110" s="5" t="str">
        <f>INDEX('Raw Data'!$A$2:$A$410,MATCH(1,INDEX(('Raw Data'!$B$2:$B$410=A110)*('Raw Data'!$E$2:$E$410=D110),0),0))</f>
        <v>Brickmo</v>
      </c>
      <c r="F110" s="7">
        <f>_xlfn.MAXIFS('Raw Data'!$E$2:$E$410,'Raw Data'!$B$2:$B$410,A110)</f>
        <v>77.849999999999994</v>
      </c>
      <c r="G110" s="5" t="str">
        <f>INDEX('Raw Data'!$A$2:$A$410,MATCH(1,INDEX(('Raw Data'!$B$2:$B$410=A110)*('Raw Data'!$E$2:$E$410=F110),0),0))</f>
        <v>Brickmo</v>
      </c>
      <c r="H110" s="7">
        <f t="shared" si="1"/>
        <v>0</v>
      </c>
      <c r="I110" s="5">
        <f>COUNTIF('Raw Data'!$B$2:$B$410,A110)</f>
        <v>1</v>
      </c>
    </row>
    <row r="111" spans="1:9" hidden="1" x14ac:dyDescent="0.35">
      <c r="A111" s="5">
        <v>60430</v>
      </c>
      <c r="B111" s="6" t="str">
        <f>INDEX('Raw Data'!$D$2:$D$410,MATCH(A111,'Raw Data'!$B$2:$B$410,0))</f>
        <v>LEGO City 60430 Interstellar Spaceship 60430</v>
      </c>
      <c r="C111" s="5" t="str">
        <f>INDEX('Raw Data'!$C$2:$C$410,MATCH(A111,'Raw Data'!$B$2:$B$410,0))</f>
        <v>Lego City</v>
      </c>
      <c r="D111" s="7">
        <f>_xlfn.MINIFS('Raw Data'!$E$2:$E$410,'Raw Data'!$B$2:$B$410,A111)</f>
        <v>14.85</v>
      </c>
      <c r="E111" s="5" t="str">
        <f>INDEX('Raw Data'!$A$2:$A$410,MATCH(1,INDEX(('Raw Data'!$B$2:$B$410=A111)*('Raw Data'!$E$2:$E$410=D111),0),0))</f>
        <v>Brickmo</v>
      </c>
      <c r="F111" s="7">
        <f>_xlfn.MAXIFS('Raw Data'!$E$2:$E$410,'Raw Data'!$B$2:$B$410,A111)</f>
        <v>14.85</v>
      </c>
      <c r="G111" s="5" t="str">
        <f>INDEX('Raw Data'!$A$2:$A$410,MATCH(1,INDEX(('Raw Data'!$B$2:$B$410=A111)*('Raw Data'!$E$2:$E$410=F111),0),0))</f>
        <v>Brickmo</v>
      </c>
      <c r="H111" s="7">
        <f t="shared" si="1"/>
        <v>0</v>
      </c>
      <c r="I111" s="5">
        <f>COUNTIF('Raw Data'!$B$2:$B$410,A111)</f>
        <v>1</v>
      </c>
    </row>
    <row r="112" spans="1:9" hidden="1" x14ac:dyDescent="0.35">
      <c r="A112" s="5">
        <v>60443</v>
      </c>
      <c r="B112" s="6" t="str">
        <f>INDEX('Raw Data'!$D$2:$D$410,MATCH(A112,'Raw Data'!$B$2:$B$410,0))</f>
        <v>LEGO 60443 F1 Pit Stop &amp; Pit Crew with Ferrari Car</v>
      </c>
      <c r="C112" s="5" t="str">
        <f>INDEX('Raw Data'!$C$2:$C$410,MATCH(A112,'Raw Data'!$B$2:$B$410,0))</f>
        <v>Lego City</v>
      </c>
      <c r="D112" s="7">
        <f>_xlfn.MINIFS('Raw Data'!$E$2:$E$410,'Raw Data'!$B$2:$B$410,A112)</f>
        <v>26.52</v>
      </c>
      <c r="E112" s="5" t="str">
        <f>INDEX('Raw Data'!$A$2:$A$410,MATCH(1,INDEX(('Raw Data'!$B$2:$B$410=A112)*('Raw Data'!$E$2:$E$410=D112),0),0))</f>
        <v>bricksdirect</v>
      </c>
      <c r="F112" s="7">
        <f>_xlfn.MAXIFS('Raw Data'!$E$2:$E$410,'Raw Data'!$B$2:$B$410,A112)</f>
        <v>26.52</v>
      </c>
      <c r="G112" s="5" t="str">
        <f>INDEX('Raw Data'!$A$2:$A$410,MATCH(1,INDEX(('Raw Data'!$B$2:$B$410=A112)*('Raw Data'!$E$2:$E$410=F112),0),0))</f>
        <v>bricksdirect</v>
      </c>
      <c r="H112" s="7">
        <f t="shared" si="1"/>
        <v>0</v>
      </c>
      <c r="I112" s="5">
        <f>COUNTIF('Raw Data'!$B$2:$B$410,A112)</f>
        <v>1</v>
      </c>
    </row>
    <row r="113" spans="1:9" hidden="1" x14ac:dyDescent="0.35">
      <c r="A113" s="5">
        <v>60444</v>
      </c>
      <c r="B113" s="6" t="str">
        <f>INDEX('Raw Data'!$D$2:$D$410,MATCH(A113,'Raw Data'!$B$2:$B$410,0))</f>
        <v>LEGO 60444 F1 Garage &amp; Mercedes-AMG &amp; Alpine Cars</v>
      </c>
      <c r="C113" s="5" t="str">
        <f>INDEX('Raw Data'!$C$2:$C$410,MATCH(A113,'Raw Data'!$B$2:$B$410,0))</f>
        <v>Lego City</v>
      </c>
      <c r="D113" s="7">
        <f>_xlfn.MINIFS('Raw Data'!$E$2:$E$410,'Raw Data'!$B$2:$B$410,A113)</f>
        <v>88.43</v>
      </c>
      <c r="E113" s="5" t="str">
        <f>INDEX('Raw Data'!$A$2:$A$410,MATCH(1,INDEX(('Raw Data'!$B$2:$B$410=A113)*('Raw Data'!$E$2:$E$410=D113),0),0))</f>
        <v>bricksdirect</v>
      </c>
      <c r="F113" s="7">
        <f>_xlfn.MAXIFS('Raw Data'!$E$2:$E$410,'Raw Data'!$B$2:$B$410,A113)</f>
        <v>88.43</v>
      </c>
      <c r="G113" s="5" t="str">
        <f>INDEX('Raw Data'!$A$2:$A$410,MATCH(1,INDEX(('Raw Data'!$B$2:$B$410=A113)*('Raw Data'!$E$2:$E$410=F113),0),0))</f>
        <v>bricksdirect</v>
      </c>
      <c r="H113" s="7">
        <f t="shared" si="1"/>
        <v>0</v>
      </c>
      <c r="I113" s="5">
        <f>COUNTIF('Raw Data'!$B$2:$B$410,A113)</f>
        <v>1</v>
      </c>
    </row>
    <row r="114" spans="1:9" hidden="1" x14ac:dyDescent="0.35">
      <c r="A114" s="5">
        <v>60445</v>
      </c>
      <c r="B114" s="6" t="str">
        <f>INDEX('Raw Data'!$D$2:$D$410,MATCH(A114,'Raw Data'!$B$2:$B$410,0))</f>
        <v>LEGO 60445 F1 Truck with RB20 &amp; AMR24 F1 Cars</v>
      </c>
      <c r="C114" s="5" t="str">
        <f>INDEX('Raw Data'!$C$2:$C$410,MATCH(A114,'Raw Data'!$B$2:$B$410,0))</f>
        <v>Lego City</v>
      </c>
      <c r="D114" s="7">
        <f>_xlfn.MINIFS('Raw Data'!$E$2:$E$410,'Raw Data'!$B$2:$B$410,A114)</f>
        <v>110.54</v>
      </c>
      <c r="E114" s="5" t="str">
        <f>INDEX('Raw Data'!$A$2:$A$410,MATCH(1,INDEX(('Raw Data'!$B$2:$B$410=A114)*('Raw Data'!$E$2:$E$410=D114),0),0))</f>
        <v>bricksdirect</v>
      </c>
      <c r="F114" s="7">
        <f>_xlfn.MAXIFS('Raw Data'!$E$2:$E$410,'Raw Data'!$B$2:$B$410,A114)</f>
        <v>110.54</v>
      </c>
      <c r="G114" s="5" t="str">
        <f>INDEX('Raw Data'!$A$2:$A$410,MATCH(1,INDEX(('Raw Data'!$B$2:$B$410=A114)*('Raw Data'!$E$2:$E$410=F114),0),0))</f>
        <v>bricksdirect</v>
      </c>
      <c r="H114" s="7">
        <f t="shared" si="1"/>
        <v>0</v>
      </c>
      <c r="I114" s="5">
        <f>COUNTIF('Raw Data'!$B$2:$B$410,A114)</f>
        <v>1</v>
      </c>
    </row>
    <row r="115" spans="1:9" hidden="1" x14ac:dyDescent="0.35">
      <c r="A115" s="5">
        <v>60446</v>
      </c>
      <c r="B115" s="6" t="str">
        <f>INDEX('Raw Data'!$D$2:$D$410,MATCH(A115,'Raw Data'!$B$2:$B$410,0))</f>
        <v>LEGO 60446 Modular Galactic Spaceship</v>
      </c>
      <c r="C115" s="5" t="str">
        <f>INDEX('Raw Data'!$C$2:$C$410,MATCH(A115,'Raw Data'!$B$2:$B$410,0))</f>
        <v>Lego City</v>
      </c>
      <c r="D115" s="7">
        <f>_xlfn.MINIFS('Raw Data'!$E$2:$E$410,'Raw Data'!$B$2:$B$410,A115)</f>
        <v>99.49</v>
      </c>
      <c r="E115" s="5" t="str">
        <f>INDEX('Raw Data'!$A$2:$A$410,MATCH(1,INDEX(('Raw Data'!$B$2:$B$410=A115)*('Raw Data'!$E$2:$E$410=D115),0),0))</f>
        <v>bricksdirect</v>
      </c>
      <c r="F115" s="7">
        <f>_xlfn.MAXIFS('Raw Data'!$E$2:$E$410,'Raw Data'!$B$2:$B$410,A115)</f>
        <v>99.49</v>
      </c>
      <c r="G115" s="5" t="str">
        <f>INDEX('Raw Data'!$A$2:$A$410,MATCH(1,INDEX(('Raw Data'!$B$2:$B$410=A115)*('Raw Data'!$E$2:$E$410=F115),0),0))</f>
        <v>bricksdirect</v>
      </c>
      <c r="H115" s="7">
        <f t="shared" si="1"/>
        <v>0</v>
      </c>
      <c r="I115" s="5">
        <f>COUNTIF('Raw Data'!$B$2:$B$410,A115)</f>
        <v>1</v>
      </c>
    </row>
    <row r="116" spans="1:9" hidden="1" x14ac:dyDescent="0.35">
      <c r="A116" s="5">
        <v>60447</v>
      </c>
      <c r="B116" s="6" t="str">
        <f>INDEX('Raw Data'!$D$2:$D$410,MATCH(A116,'Raw Data'!$B$2:$B$410,0))</f>
        <v>LEGO 60447 Off-Road 4x4 Mountain Truck</v>
      </c>
      <c r="C116" s="5" t="str">
        <f>INDEX('Raw Data'!$C$2:$C$410,MATCH(A116,'Raw Data'!$B$2:$B$410,0))</f>
        <v>Lego City</v>
      </c>
      <c r="D116" s="7">
        <f>_xlfn.MINIFS('Raw Data'!$E$2:$E$410,'Raw Data'!$B$2:$B$410,A116)</f>
        <v>17.68</v>
      </c>
      <c r="E116" s="5" t="str">
        <f>INDEX('Raw Data'!$A$2:$A$410,MATCH(1,INDEX(('Raw Data'!$B$2:$B$410=A116)*('Raw Data'!$E$2:$E$410=D116),0),0))</f>
        <v>bricksdirect</v>
      </c>
      <c r="F116" s="7">
        <f>_xlfn.MAXIFS('Raw Data'!$E$2:$E$410,'Raw Data'!$B$2:$B$410,A116)</f>
        <v>17.68</v>
      </c>
      <c r="G116" s="5" t="str">
        <f>INDEX('Raw Data'!$A$2:$A$410,MATCH(1,INDEX(('Raw Data'!$B$2:$B$410=A116)*('Raw Data'!$E$2:$E$410=F116),0),0))</f>
        <v>bricksdirect</v>
      </c>
      <c r="H116" s="7">
        <f t="shared" si="1"/>
        <v>0</v>
      </c>
      <c r="I116" s="5">
        <f>COUNTIF('Raw Data'!$B$2:$B$410,A116)</f>
        <v>1</v>
      </c>
    </row>
    <row r="117" spans="1:9" hidden="1" x14ac:dyDescent="0.35">
      <c r="A117" s="5">
        <v>60449</v>
      </c>
      <c r="B117" s="6" t="str">
        <f>INDEX('Raw Data'!$D$2:$D$410,MATCH(A117,'Raw Data'!$B$2:$B$410,0))</f>
        <v>LEGO 60449 Off-Road Police Car Chase</v>
      </c>
      <c r="C117" s="5" t="str">
        <f>INDEX('Raw Data'!$C$2:$C$410,MATCH(A117,'Raw Data'!$B$2:$B$410,0))</f>
        <v>Lego City</v>
      </c>
      <c r="D117" s="7">
        <f>_xlfn.MINIFS('Raw Data'!$E$2:$E$410,'Raw Data'!$B$2:$B$410,A117)</f>
        <v>55.26</v>
      </c>
      <c r="E117" s="5" t="str">
        <f>INDEX('Raw Data'!$A$2:$A$410,MATCH(1,INDEX(('Raw Data'!$B$2:$B$410=A117)*('Raw Data'!$E$2:$E$410=D117),0),0))</f>
        <v>bricksdirect</v>
      </c>
      <c r="F117" s="7">
        <f>_xlfn.MAXIFS('Raw Data'!$E$2:$E$410,'Raw Data'!$B$2:$B$410,A117)</f>
        <v>55.26</v>
      </c>
      <c r="G117" s="5" t="str">
        <f>INDEX('Raw Data'!$A$2:$A$410,MATCH(1,INDEX(('Raw Data'!$B$2:$B$410=A117)*('Raw Data'!$E$2:$E$410=F117),0),0))</f>
        <v>bricksdirect</v>
      </c>
      <c r="H117" s="7">
        <f t="shared" si="1"/>
        <v>0</v>
      </c>
      <c r="I117" s="5">
        <f>COUNTIF('Raw Data'!$B$2:$B$410,A117)</f>
        <v>1</v>
      </c>
    </row>
    <row r="118" spans="1:9" hidden="1" x14ac:dyDescent="0.35">
      <c r="A118" s="5">
        <v>60451</v>
      </c>
      <c r="B118" s="6" t="str">
        <f>INDEX('Raw Data'!$D$2:$D$410,MATCH(A118,'Raw Data'!$B$2:$B$410,0))</f>
        <v>LEGO 60451 Emergency Ambulance</v>
      </c>
      <c r="C118" s="5" t="str">
        <f>INDEX('Raw Data'!$C$2:$C$410,MATCH(A118,'Raw Data'!$B$2:$B$410,0))</f>
        <v>Lego City</v>
      </c>
      <c r="D118" s="7">
        <f>_xlfn.MINIFS('Raw Data'!$E$2:$E$410,'Raw Data'!$B$2:$B$410,A118)</f>
        <v>17.68</v>
      </c>
      <c r="E118" s="5" t="str">
        <f>INDEX('Raw Data'!$A$2:$A$410,MATCH(1,INDEX(('Raw Data'!$B$2:$B$410=A118)*('Raw Data'!$E$2:$E$410=D118),0),0))</f>
        <v>bricksdirect</v>
      </c>
      <c r="F118" s="7">
        <f>_xlfn.MAXIFS('Raw Data'!$E$2:$E$410,'Raw Data'!$B$2:$B$410,A118)</f>
        <v>17.68</v>
      </c>
      <c r="G118" s="5" t="str">
        <f>INDEX('Raw Data'!$A$2:$A$410,MATCH(1,INDEX(('Raw Data'!$B$2:$B$410=A118)*('Raw Data'!$E$2:$E$410=F118),0),0))</f>
        <v>bricksdirect</v>
      </c>
      <c r="H118" s="7">
        <f t="shared" si="1"/>
        <v>0</v>
      </c>
      <c r="I118" s="5">
        <f>COUNTIF('Raw Data'!$B$2:$B$410,A118)</f>
        <v>1</v>
      </c>
    </row>
    <row r="119" spans="1:9" hidden="1" x14ac:dyDescent="0.35">
      <c r="A119" s="5">
        <v>60452</v>
      </c>
      <c r="B119" s="6" t="str">
        <f>INDEX('Raw Data'!$D$2:$D$410,MATCH(A119,'Raw Data'!$B$2:$B$410,0))</f>
        <v>LEGO 60452 Donut Truck</v>
      </c>
      <c r="C119" s="5" t="str">
        <f>INDEX('Raw Data'!$C$2:$C$410,MATCH(A119,'Raw Data'!$B$2:$B$410,0))</f>
        <v>Lego City</v>
      </c>
      <c r="D119" s="7">
        <f>_xlfn.MINIFS('Raw Data'!$E$2:$E$410,'Raw Data'!$B$2:$B$410,A119)</f>
        <v>22.1</v>
      </c>
      <c r="E119" s="5" t="str">
        <f>INDEX('Raw Data'!$A$2:$A$410,MATCH(1,INDEX(('Raw Data'!$B$2:$B$410=A119)*('Raw Data'!$E$2:$E$410=D119),0),0))</f>
        <v>bricksdirect</v>
      </c>
      <c r="F119" s="7">
        <f>_xlfn.MAXIFS('Raw Data'!$E$2:$E$410,'Raw Data'!$B$2:$B$410,A119)</f>
        <v>22.1</v>
      </c>
      <c r="G119" s="5" t="str">
        <f>INDEX('Raw Data'!$A$2:$A$410,MATCH(1,INDEX(('Raw Data'!$B$2:$B$410=A119)*('Raw Data'!$E$2:$E$410=F119),0),0))</f>
        <v>bricksdirect</v>
      </c>
      <c r="H119" s="7">
        <f t="shared" si="1"/>
        <v>0</v>
      </c>
      <c r="I119" s="5">
        <f>COUNTIF('Raw Data'!$B$2:$B$410,A119)</f>
        <v>1</v>
      </c>
    </row>
    <row r="120" spans="1:9" hidden="1" x14ac:dyDescent="0.35">
      <c r="A120" s="5">
        <v>60453</v>
      </c>
      <c r="B120" s="6" t="str">
        <f>INDEX('Raw Data'!$D$2:$D$410,MATCH(A120,'Raw Data'!$B$2:$B$410,0))</f>
        <v>LEGO 60453 Lifeguard Beach Rescue Truck</v>
      </c>
      <c r="C120" s="5" t="str">
        <f>INDEX('Raw Data'!$C$2:$C$410,MATCH(A120,'Raw Data'!$B$2:$B$410,0))</f>
        <v>Lego City</v>
      </c>
      <c r="D120" s="7">
        <f>_xlfn.MINIFS('Raw Data'!$E$2:$E$410,'Raw Data'!$B$2:$B$410,A120)</f>
        <v>27.63</v>
      </c>
      <c r="E120" s="5" t="str">
        <f>INDEX('Raw Data'!$A$2:$A$410,MATCH(1,INDEX(('Raw Data'!$B$2:$B$410=A120)*('Raw Data'!$E$2:$E$410=D120),0),0))</f>
        <v>bricksdirect</v>
      </c>
      <c r="F120" s="7">
        <f>_xlfn.MAXIFS('Raw Data'!$E$2:$E$410,'Raw Data'!$B$2:$B$410,A120)</f>
        <v>27.63</v>
      </c>
      <c r="G120" s="5" t="str">
        <f>INDEX('Raw Data'!$A$2:$A$410,MATCH(1,INDEX(('Raw Data'!$B$2:$B$410=A120)*('Raw Data'!$E$2:$E$410=F120),0),0))</f>
        <v>bricksdirect</v>
      </c>
      <c r="H120" s="7">
        <f t="shared" si="1"/>
        <v>0</v>
      </c>
      <c r="I120" s="5">
        <f>COUNTIF('Raw Data'!$B$2:$B$410,A120)</f>
        <v>1</v>
      </c>
    </row>
    <row r="121" spans="1:9" x14ac:dyDescent="0.35">
      <c r="A121" s="5">
        <v>60454</v>
      </c>
      <c r="B121" s="6" t="str">
        <f>INDEX('Raw Data'!$D$2:$D$410,MATCH(A121,'Raw Data'!$B$2:$B$410,0))</f>
        <v>LEGO City Fahrzeuge 60454 Holiday Adventure...</v>
      </c>
      <c r="C121" s="5" t="str">
        <f>INDEX('Raw Data'!$C$2:$C$410,MATCH(A121,'Raw Data'!$B$2:$B$410,0))</f>
        <v>Lego City</v>
      </c>
      <c r="D121" s="7">
        <f>_xlfn.MINIFS('Raw Data'!$E$2:$E$410,'Raw Data'!$B$2:$B$410,A121)</f>
        <v>22.5</v>
      </c>
      <c r="E121" s="5" t="str">
        <f>INDEX('Raw Data'!$A$2:$A$410,MATCH(1,INDEX(('Raw Data'!$B$2:$B$410=A121)*('Raw Data'!$E$2:$E$410=D121),0),0))</f>
        <v>Brickmo</v>
      </c>
      <c r="F121" s="7">
        <f>_xlfn.MAXIFS('Raw Data'!$E$2:$E$410,'Raw Data'!$B$2:$B$410,A121)</f>
        <v>33.15</v>
      </c>
      <c r="G121" s="5" t="str">
        <f>INDEX('Raw Data'!$A$2:$A$410,MATCH(1,INDEX(('Raw Data'!$B$2:$B$410=A121)*('Raw Data'!$E$2:$E$410=F121),0),0))</f>
        <v>bricksdirect</v>
      </c>
      <c r="H121" s="7">
        <f t="shared" si="1"/>
        <v>10.649999999999999</v>
      </c>
      <c r="I121" s="5">
        <f>COUNTIF('Raw Data'!$B$2:$B$410,A121)</f>
        <v>3</v>
      </c>
    </row>
    <row r="122" spans="1:9" hidden="1" x14ac:dyDescent="0.35">
      <c r="A122" s="5">
        <v>60455</v>
      </c>
      <c r="B122" s="6" t="str">
        <f>INDEX('Raw Data'!$D$2:$D$410,MATCH(A122,'Raw Data'!$B$2:$B$410,0))</f>
        <v>LEGO 60455 Police Motorcycle Chase</v>
      </c>
      <c r="C122" s="5" t="str">
        <f>INDEX('Raw Data'!$C$2:$C$410,MATCH(A122,'Raw Data'!$B$2:$B$410,0))</f>
        <v>Lego City</v>
      </c>
      <c r="D122" s="7">
        <f>_xlfn.MINIFS('Raw Data'!$E$2:$E$410,'Raw Data'!$B$2:$B$410,A122)</f>
        <v>8.83</v>
      </c>
      <c r="E122" s="5" t="str">
        <f>INDEX('Raw Data'!$A$2:$A$410,MATCH(1,INDEX(('Raw Data'!$B$2:$B$410=A122)*('Raw Data'!$E$2:$E$410=D122),0),0))</f>
        <v>bricksdirect</v>
      </c>
      <c r="F122" s="7">
        <f>_xlfn.MAXIFS('Raw Data'!$E$2:$E$410,'Raw Data'!$B$2:$B$410,A122)</f>
        <v>8.83</v>
      </c>
      <c r="G122" s="5" t="str">
        <f>INDEX('Raw Data'!$A$2:$A$410,MATCH(1,INDEX(('Raw Data'!$B$2:$B$410=A122)*('Raw Data'!$E$2:$E$410=F122),0),0))</f>
        <v>bricksdirect</v>
      </c>
      <c r="H122" s="7">
        <f t="shared" si="1"/>
        <v>0</v>
      </c>
      <c r="I122" s="5">
        <f>COUNTIF('Raw Data'!$B$2:$B$410,A122)</f>
        <v>1</v>
      </c>
    </row>
    <row r="123" spans="1:9" hidden="1" x14ac:dyDescent="0.35">
      <c r="A123" s="5">
        <v>60456</v>
      </c>
      <c r="B123" s="6" t="str">
        <f>INDEX('Raw Data'!$D$2:$D$410,MATCH(A123,'Raw Data'!$B$2:$B$410,0))</f>
        <v>LEGO 60456 Police Boat Chase</v>
      </c>
      <c r="C123" s="5" t="str">
        <f>INDEX('Raw Data'!$C$2:$C$410,MATCH(A123,'Raw Data'!$B$2:$B$410,0))</f>
        <v>Lego City</v>
      </c>
      <c r="D123" s="7">
        <f>_xlfn.MINIFS('Raw Data'!$E$2:$E$410,'Raw Data'!$B$2:$B$410,A123)</f>
        <v>33.15</v>
      </c>
      <c r="E123" s="5" t="str">
        <f>INDEX('Raw Data'!$A$2:$A$410,MATCH(1,INDEX(('Raw Data'!$B$2:$B$410=A123)*('Raw Data'!$E$2:$E$410=D123),0),0))</f>
        <v>bricksdirect</v>
      </c>
      <c r="F123" s="7">
        <f>_xlfn.MAXIFS('Raw Data'!$E$2:$E$410,'Raw Data'!$B$2:$B$410,A123)</f>
        <v>33.15</v>
      </c>
      <c r="G123" s="5" t="str">
        <f>INDEX('Raw Data'!$A$2:$A$410,MATCH(1,INDEX(('Raw Data'!$B$2:$B$410=A123)*('Raw Data'!$E$2:$E$410=F123),0),0))</f>
        <v>bricksdirect</v>
      </c>
      <c r="H123" s="7">
        <f t="shared" si="1"/>
        <v>0</v>
      </c>
      <c r="I123" s="5">
        <f>COUNTIF('Raw Data'!$B$2:$B$410,A123)</f>
        <v>1</v>
      </c>
    </row>
    <row r="124" spans="1:9" hidden="1" x14ac:dyDescent="0.35">
      <c r="A124" s="5">
        <v>60457</v>
      </c>
      <c r="B124" s="6" t="str">
        <f>INDEX('Raw Data'!$D$2:$D$410,MATCH(A124,'Raw Data'!$B$2:$B$410,0))</f>
        <v>LEGO 60457 Custom Police Car Garage</v>
      </c>
      <c r="C124" s="5" t="str">
        <f>INDEX('Raw Data'!$C$2:$C$410,MATCH(A124,'Raw Data'!$B$2:$B$410,0))</f>
        <v>Lego City</v>
      </c>
      <c r="D124" s="7">
        <f>_xlfn.MINIFS('Raw Data'!$E$2:$E$410,'Raw Data'!$B$2:$B$410,A124)</f>
        <v>66.319999999999993</v>
      </c>
      <c r="E124" s="5" t="str">
        <f>INDEX('Raw Data'!$A$2:$A$410,MATCH(1,INDEX(('Raw Data'!$B$2:$B$410=A124)*('Raw Data'!$E$2:$E$410=D124),0),0))</f>
        <v>bricksdirect</v>
      </c>
      <c r="F124" s="7">
        <f>_xlfn.MAXIFS('Raw Data'!$E$2:$E$410,'Raw Data'!$B$2:$B$410,A124)</f>
        <v>66.319999999999993</v>
      </c>
      <c r="G124" s="5" t="str">
        <f>INDEX('Raw Data'!$A$2:$A$410,MATCH(1,INDEX(('Raw Data'!$B$2:$B$410=A124)*('Raw Data'!$E$2:$E$410=F124),0),0))</f>
        <v>bricksdirect</v>
      </c>
      <c r="H124" s="7">
        <f t="shared" si="1"/>
        <v>0</v>
      </c>
      <c r="I124" s="5">
        <f>COUNTIF('Raw Data'!$B$2:$B$410,A124)</f>
        <v>1</v>
      </c>
    </row>
    <row r="125" spans="1:9" hidden="1" x14ac:dyDescent="0.35">
      <c r="A125" s="5">
        <v>60458</v>
      </c>
      <c r="B125" s="6" t="str">
        <f>INDEX('Raw Data'!$D$2:$D$410,MATCH(A125,'Raw Data'!$B$2:$B$410,0))</f>
        <v>LEGO 60458 Pizza vs. Fire Truck Race Car Pack</v>
      </c>
      <c r="C125" s="5" t="str">
        <f>INDEX('Raw Data'!$C$2:$C$410,MATCH(A125,'Raw Data'!$B$2:$B$410,0))</f>
        <v>Lego City</v>
      </c>
      <c r="D125" s="7">
        <f>_xlfn.MINIFS('Raw Data'!$E$2:$E$410,'Raw Data'!$B$2:$B$410,A125)</f>
        <v>11.04</v>
      </c>
      <c r="E125" s="5" t="str">
        <f>INDEX('Raw Data'!$A$2:$A$410,MATCH(1,INDEX(('Raw Data'!$B$2:$B$410=A125)*('Raw Data'!$E$2:$E$410=D125),0),0))</f>
        <v>bricksdirect</v>
      </c>
      <c r="F125" s="7">
        <f>_xlfn.MAXIFS('Raw Data'!$E$2:$E$410,'Raw Data'!$B$2:$B$410,A125)</f>
        <v>11.04</v>
      </c>
      <c r="G125" s="5" t="str">
        <f>INDEX('Raw Data'!$A$2:$A$410,MATCH(1,INDEX(('Raw Data'!$B$2:$B$410=A125)*('Raw Data'!$E$2:$E$410=F125),0),0))</f>
        <v>bricksdirect</v>
      </c>
      <c r="H125" s="7">
        <f t="shared" si="1"/>
        <v>0</v>
      </c>
      <c r="I125" s="5">
        <f>COUNTIF('Raw Data'!$B$2:$B$410,A125)</f>
        <v>1</v>
      </c>
    </row>
    <row r="126" spans="1:9" hidden="1" x14ac:dyDescent="0.35">
      <c r="A126" s="5">
        <v>60459</v>
      </c>
      <c r="B126" s="6" t="str">
        <f>INDEX('Raw Data'!$D$2:$D$410,MATCH(A126,'Raw Data'!$B$2:$B$410,0))</f>
        <v>LEGO 60459 Airplane vs. Hospital Bed Race Car Pack</v>
      </c>
      <c r="C126" s="5" t="str">
        <f>INDEX('Raw Data'!$C$2:$C$410,MATCH(A126,'Raw Data'!$B$2:$B$410,0))</f>
        <v>Lego City</v>
      </c>
      <c r="D126" s="7">
        <f>_xlfn.MINIFS('Raw Data'!$E$2:$E$410,'Raw Data'!$B$2:$B$410,A126)</f>
        <v>11.04</v>
      </c>
      <c r="E126" s="5" t="str">
        <f>INDEX('Raw Data'!$A$2:$A$410,MATCH(1,INDEX(('Raw Data'!$B$2:$B$410=A126)*('Raw Data'!$E$2:$E$410=D126),0),0))</f>
        <v>bricksdirect</v>
      </c>
      <c r="F126" s="7">
        <f>_xlfn.MAXIFS('Raw Data'!$E$2:$E$410,'Raw Data'!$B$2:$B$410,A126)</f>
        <v>11.04</v>
      </c>
      <c r="G126" s="5" t="str">
        <f>INDEX('Raw Data'!$A$2:$A$410,MATCH(1,INDEX(('Raw Data'!$B$2:$B$410=A126)*('Raw Data'!$E$2:$E$410=F126),0),0))</f>
        <v>bricksdirect</v>
      </c>
      <c r="H126" s="7">
        <f t="shared" si="1"/>
        <v>0</v>
      </c>
      <c r="I126" s="5">
        <f>COUNTIF('Raw Data'!$B$2:$B$410,A126)</f>
        <v>1</v>
      </c>
    </row>
    <row r="127" spans="1:9" hidden="1" x14ac:dyDescent="0.35">
      <c r="A127" s="5">
        <v>60462</v>
      </c>
      <c r="B127" s="6" t="str">
        <f>INDEX('Raw Data'!$D$2:$D$410,MATCH(A127,'Raw Data'!$B$2:$B$410,0))</f>
        <v>LEGO 60462 Helicopter, Fire Truck &amp; Submarine Remix</v>
      </c>
      <c r="C127" s="5" t="str">
        <f>INDEX('Raw Data'!$C$2:$C$410,MATCH(A127,'Raw Data'!$B$2:$B$410,0))</f>
        <v>Lego City</v>
      </c>
      <c r="D127" s="7">
        <f>_xlfn.MINIFS('Raw Data'!$E$2:$E$410,'Raw Data'!$B$2:$B$410,A127)</f>
        <v>66.319999999999993</v>
      </c>
      <c r="E127" s="5" t="str">
        <f>INDEX('Raw Data'!$A$2:$A$410,MATCH(1,INDEX(('Raw Data'!$B$2:$B$410=A127)*('Raw Data'!$E$2:$E$410=D127),0),0))</f>
        <v>bricksdirect</v>
      </c>
      <c r="F127" s="7">
        <f>_xlfn.MAXIFS('Raw Data'!$E$2:$E$410,'Raw Data'!$B$2:$B$410,A127)</f>
        <v>66.319999999999993</v>
      </c>
      <c r="G127" s="5" t="str">
        <f>INDEX('Raw Data'!$A$2:$A$410,MATCH(1,INDEX(('Raw Data'!$B$2:$B$410=A127)*('Raw Data'!$E$2:$E$410=F127),0),0))</f>
        <v>bricksdirect</v>
      </c>
      <c r="H127" s="7">
        <f t="shared" si="1"/>
        <v>0</v>
      </c>
      <c r="I127" s="5">
        <f>COUNTIF('Raw Data'!$B$2:$B$410,A127)</f>
        <v>1</v>
      </c>
    </row>
    <row r="128" spans="1:9" hidden="1" x14ac:dyDescent="0.35">
      <c r="A128" s="5">
        <v>60463</v>
      </c>
      <c r="B128" s="6" t="str">
        <f>INDEX('Raw Data'!$D$2:$D$410,MATCH(A128,'Raw Data'!$B$2:$B$410,0))</f>
        <v>LEGO 60463 Fire Ladder Truck</v>
      </c>
      <c r="C128" s="5" t="str">
        <f>INDEX('Raw Data'!$C$2:$C$410,MATCH(A128,'Raw Data'!$B$2:$B$410,0))</f>
        <v>Lego City</v>
      </c>
      <c r="D128" s="7">
        <f>_xlfn.MINIFS('Raw Data'!$E$2:$E$410,'Raw Data'!$B$2:$B$410,A128)</f>
        <v>17.68</v>
      </c>
      <c r="E128" s="5" t="str">
        <f>INDEX('Raw Data'!$A$2:$A$410,MATCH(1,INDEX(('Raw Data'!$B$2:$B$410=A128)*('Raw Data'!$E$2:$E$410=D128),0),0))</f>
        <v>bricksdirect</v>
      </c>
      <c r="F128" s="7">
        <f>_xlfn.MAXIFS('Raw Data'!$E$2:$E$410,'Raw Data'!$B$2:$B$410,A128)</f>
        <v>17.68</v>
      </c>
      <c r="G128" s="5" t="str">
        <f>INDEX('Raw Data'!$A$2:$A$410,MATCH(1,INDEX(('Raw Data'!$B$2:$B$410=A128)*('Raw Data'!$E$2:$E$410=F128),0),0))</f>
        <v>bricksdirect</v>
      </c>
      <c r="H128" s="7">
        <f t="shared" si="1"/>
        <v>0</v>
      </c>
      <c r="I128" s="5">
        <f>COUNTIF('Raw Data'!$B$2:$B$410,A128)</f>
        <v>1</v>
      </c>
    </row>
    <row r="129" spans="1:9" hidden="1" x14ac:dyDescent="0.35">
      <c r="A129" s="5">
        <v>60464</v>
      </c>
      <c r="B129" s="6" t="str">
        <f>INDEX('Raw Data'!$D$2:$D$410,MATCH(A129,'Raw Data'!$B$2:$B$410,0))</f>
        <v>LEGO 60464 F1 Williams Racing &amp; Haas F1 Race Cars</v>
      </c>
      <c r="C129" s="5" t="str">
        <f>INDEX('Raw Data'!$C$2:$C$410,MATCH(A129,'Raw Data'!$B$2:$B$410,0))</f>
        <v>Lego City</v>
      </c>
      <c r="D129" s="7">
        <f>_xlfn.MINIFS('Raw Data'!$E$2:$E$410,'Raw Data'!$B$2:$B$410,A129)</f>
        <v>17.68</v>
      </c>
      <c r="E129" s="5" t="str">
        <f>INDEX('Raw Data'!$A$2:$A$410,MATCH(1,INDEX(('Raw Data'!$B$2:$B$410=A129)*('Raw Data'!$E$2:$E$410=D129),0),0))</f>
        <v>bricksdirect</v>
      </c>
      <c r="F129" s="7">
        <f>_xlfn.MAXIFS('Raw Data'!$E$2:$E$410,'Raw Data'!$B$2:$B$410,A129)</f>
        <v>17.68</v>
      </c>
      <c r="G129" s="5" t="str">
        <f>INDEX('Raw Data'!$A$2:$A$410,MATCH(1,INDEX(('Raw Data'!$B$2:$B$410=A129)*('Raw Data'!$E$2:$E$410=F129),0),0))</f>
        <v>bricksdirect</v>
      </c>
      <c r="H129" s="7">
        <f t="shared" si="1"/>
        <v>0</v>
      </c>
      <c r="I129" s="5">
        <f>COUNTIF('Raw Data'!$B$2:$B$410,A129)</f>
        <v>1</v>
      </c>
    </row>
    <row r="130" spans="1:9" x14ac:dyDescent="0.35">
      <c r="A130" s="5">
        <v>60465</v>
      </c>
      <c r="B130" s="6" t="str">
        <f>INDEX('Raw Data'!$D$2:$D$410,MATCH(A130,'Raw Data'!$B$2:$B$410,0))</f>
        <v>LEGO City 60465 Emergency Air Ambulance...</v>
      </c>
      <c r="C130" s="5" t="str">
        <f>INDEX('Raw Data'!$C$2:$C$410,MATCH(A130,'Raw Data'!$B$2:$B$410,0))</f>
        <v>Lego City</v>
      </c>
      <c r="D130" s="7">
        <f>_xlfn.MINIFS('Raw Data'!$E$2:$E$410,'Raw Data'!$B$2:$B$410,A130)</f>
        <v>39.92</v>
      </c>
      <c r="E130" s="5" t="str">
        <f>INDEX('Raw Data'!$A$2:$A$410,MATCH(1,INDEX(('Raw Data'!$B$2:$B$410=A130)*('Raw Data'!$E$2:$E$410=D130),0),0))</f>
        <v>Brickmo</v>
      </c>
      <c r="F130" s="7">
        <f>_xlfn.MAXIFS('Raw Data'!$E$2:$E$410,'Raw Data'!$B$2:$B$410,A130)</f>
        <v>55.26</v>
      </c>
      <c r="G130" s="5" t="str">
        <f>INDEX('Raw Data'!$A$2:$A$410,MATCH(1,INDEX(('Raw Data'!$B$2:$B$410=A130)*('Raw Data'!$E$2:$E$410=F130),0),0))</f>
        <v>bricksdirect</v>
      </c>
      <c r="H130" s="7">
        <f t="shared" ref="H130:H193" si="2">F130-D130</f>
        <v>15.339999999999996</v>
      </c>
      <c r="I130" s="5">
        <f>COUNTIF('Raw Data'!$B$2:$B$410,A130)</f>
        <v>2</v>
      </c>
    </row>
    <row r="131" spans="1:9" hidden="1" x14ac:dyDescent="0.35">
      <c r="A131" s="5">
        <v>60466</v>
      </c>
      <c r="B131" s="6" t="str">
        <f>INDEX('Raw Data'!$D$2:$D$410,MATCH(A131,'Raw Data'!$B$2:$B$410,0))</f>
        <v>LEGO 60466 Yellow Bulldozer</v>
      </c>
      <c r="C131" s="5" t="str">
        <f>INDEX('Raw Data'!$C$2:$C$410,MATCH(A131,'Raw Data'!$B$2:$B$410,0))</f>
        <v>Lego City</v>
      </c>
      <c r="D131" s="7">
        <f>_xlfn.MINIFS('Raw Data'!$E$2:$E$410,'Raw Data'!$B$2:$B$410,A131)</f>
        <v>66.319999999999993</v>
      </c>
      <c r="E131" s="5" t="str">
        <f>INDEX('Raw Data'!$A$2:$A$410,MATCH(1,INDEX(('Raw Data'!$B$2:$B$410=A131)*('Raw Data'!$E$2:$E$410=D131),0),0))</f>
        <v>bricksdirect</v>
      </c>
      <c r="F131" s="7">
        <f>_xlfn.MAXIFS('Raw Data'!$E$2:$E$410,'Raw Data'!$B$2:$B$410,A131)</f>
        <v>66.319999999999993</v>
      </c>
      <c r="G131" s="5" t="str">
        <f>INDEX('Raw Data'!$A$2:$A$410,MATCH(1,INDEX(('Raw Data'!$B$2:$B$410=A131)*('Raw Data'!$E$2:$E$410=F131),0),0))</f>
        <v>bricksdirect</v>
      </c>
      <c r="H131" s="7">
        <f t="shared" si="2"/>
        <v>0</v>
      </c>
      <c r="I131" s="5">
        <f>COUNTIF('Raw Data'!$B$2:$B$410,A131)</f>
        <v>1</v>
      </c>
    </row>
    <row r="132" spans="1:9" hidden="1" x14ac:dyDescent="0.35">
      <c r="A132" s="5">
        <v>60467</v>
      </c>
      <c r="B132" s="6" t="str">
        <f>INDEX('Raw Data'!$D$2:$D$410,MATCH(A132,'Raw Data'!$B$2:$B$410,0))</f>
        <v>LEGO 60467 Heavy-Duty Recovery Tow Truck with Crane</v>
      </c>
      <c r="C132" s="5" t="str">
        <f>INDEX('Raw Data'!$C$2:$C$410,MATCH(A132,'Raw Data'!$B$2:$B$410,0))</f>
        <v>Lego City</v>
      </c>
      <c r="D132" s="7">
        <f>_xlfn.MINIFS('Raw Data'!$E$2:$E$410,'Raw Data'!$B$2:$B$410,A132)</f>
        <v>99.49</v>
      </c>
      <c r="E132" s="5" t="str">
        <f>INDEX('Raw Data'!$A$2:$A$410,MATCH(1,INDEX(('Raw Data'!$B$2:$B$410=A132)*('Raw Data'!$E$2:$E$410=D132),0),0))</f>
        <v>bricksdirect</v>
      </c>
      <c r="F132" s="7">
        <f>_xlfn.MAXIFS('Raw Data'!$E$2:$E$410,'Raw Data'!$B$2:$B$410,A132)</f>
        <v>99.49</v>
      </c>
      <c r="G132" s="5" t="str">
        <f>INDEX('Raw Data'!$A$2:$A$410,MATCH(1,INDEX(('Raw Data'!$B$2:$B$410=A132)*('Raw Data'!$E$2:$E$410=F132),0),0))</f>
        <v>bricksdirect</v>
      </c>
      <c r="H132" s="7">
        <f t="shared" si="2"/>
        <v>0</v>
      </c>
      <c r="I132" s="5">
        <f>COUNTIF('Raw Data'!$B$2:$B$410,A132)</f>
        <v>1</v>
      </c>
    </row>
    <row r="133" spans="1:9" hidden="1" x14ac:dyDescent="0.35">
      <c r="A133" s="5">
        <v>60469</v>
      </c>
      <c r="B133" s="6" t="str">
        <f>INDEX('Raw Data'!$D$2:$D$410,MATCH(A133,'Raw Data'!$B$2:$B$410,0))</f>
        <v>LEGO 60469 Central Train Station</v>
      </c>
      <c r="C133" s="5" t="str">
        <f>INDEX('Raw Data'!$C$2:$C$410,MATCH(A133,'Raw Data'!$B$2:$B$410,0))</f>
        <v>Lego City</v>
      </c>
      <c r="D133" s="7">
        <f>_xlfn.MINIFS('Raw Data'!$E$2:$E$410,'Raw Data'!$B$2:$B$410,A133)</f>
        <v>77.37</v>
      </c>
      <c r="E133" s="5" t="str">
        <f>INDEX('Raw Data'!$A$2:$A$410,MATCH(1,INDEX(('Raw Data'!$B$2:$B$410=A133)*('Raw Data'!$E$2:$E$410=D133),0),0))</f>
        <v>bricksdirect</v>
      </c>
      <c r="F133" s="7">
        <f>_xlfn.MAXIFS('Raw Data'!$E$2:$E$410,'Raw Data'!$B$2:$B$410,A133)</f>
        <v>77.37</v>
      </c>
      <c r="G133" s="5" t="str">
        <f>INDEX('Raw Data'!$A$2:$A$410,MATCH(1,INDEX(('Raw Data'!$B$2:$B$410=A133)*('Raw Data'!$E$2:$E$410=F133),0),0))</f>
        <v>bricksdirect</v>
      </c>
      <c r="H133" s="7">
        <f t="shared" si="2"/>
        <v>0</v>
      </c>
      <c r="I133" s="5">
        <f>COUNTIF('Raw Data'!$B$2:$B$410,A133)</f>
        <v>1</v>
      </c>
    </row>
    <row r="134" spans="1:9" hidden="1" x14ac:dyDescent="0.35">
      <c r="A134" s="5">
        <v>60470</v>
      </c>
      <c r="B134" s="6" t="str">
        <f>INDEX('Raw Data'!$D$2:$D$410,MATCH(A134,'Raw Data'!$B$2:$B$410,0))</f>
        <v>LEGO 60470 Explorers’ Arctic Polar Express Train</v>
      </c>
      <c r="C134" s="5" t="str">
        <f>INDEX('Raw Data'!$C$2:$C$410,MATCH(A134,'Raw Data'!$B$2:$B$410,0))</f>
        <v>Lego City</v>
      </c>
      <c r="D134" s="7">
        <f>_xlfn.MINIFS('Raw Data'!$E$2:$E$410,'Raw Data'!$B$2:$B$410,A134)</f>
        <v>221.09</v>
      </c>
      <c r="E134" s="5" t="str">
        <f>INDEX('Raw Data'!$A$2:$A$410,MATCH(1,INDEX(('Raw Data'!$B$2:$B$410=A134)*('Raw Data'!$E$2:$E$410=D134),0),0))</f>
        <v>bricksdirect</v>
      </c>
      <c r="F134" s="7">
        <f>_xlfn.MAXIFS('Raw Data'!$E$2:$E$410,'Raw Data'!$B$2:$B$410,A134)</f>
        <v>221.09</v>
      </c>
      <c r="G134" s="5" t="str">
        <f>INDEX('Raw Data'!$A$2:$A$410,MATCH(1,INDEX(('Raw Data'!$B$2:$B$410=A134)*('Raw Data'!$E$2:$E$410=F134),0),0))</f>
        <v>bricksdirect</v>
      </c>
      <c r="H134" s="7">
        <f t="shared" si="2"/>
        <v>0</v>
      </c>
      <c r="I134" s="5">
        <f>COUNTIF('Raw Data'!$B$2:$B$410,A134)</f>
        <v>1</v>
      </c>
    </row>
    <row r="135" spans="1:9" hidden="1" x14ac:dyDescent="0.35">
      <c r="A135" s="5">
        <v>60471</v>
      </c>
      <c r="B135" s="6" t="str">
        <f>INDEX('Raw Data'!$D$2:$D$410,MATCH(A135,'Raw Data'!$B$2:$B$410,0))</f>
        <v>LEGO 60471 Arctic Explorer Science Lab Truck</v>
      </c>
      <c r="C135" s="5" t="str">
        <f>INDEX('Raw Data'!$C$2:$C$410,MATCH(A135,'Raw Data'!$B$2:$B$410,0))</f>
        <v>Lego City</v>
      </c>
      <c r="D135" s="7">
        <f>_xlfn.MINIFS('Raw Data'!$E$2:$E$410,'Raw Data'!$B$2:$B$410,A135)</f>
        <v>98.38</v>
      </c>
      <c r="E135" s="5" t="str">
        <f>INDEX('Raw Data'!$A$2:$A$410,MATCH(1,INDEX(('Raw Data'!$B$2:$B$410=A135)*('Raw Data'!$E$2:$E$410=D135),0),0))</f>
        <v>bricksdirect</v>
      </c>
      <c r="F135" s="7">
        <f>_xlfn.MAXIFS('Raw Data'!$E$2:$E$410,'Raw Data'!$B$2:$B$410,A135)</f>
        <v>98.38</v>
      </c>
      <c r="G135" s="5" t="str">
        <f>INDEX('Raw Data'!$A$2:$A$410,MATCH(1,INDEX(('Raw Data'!$B$2:$B$410=A135)*('Raw Data'!$E$2:$E$410=F135),0),0))</f>
        <v>bricksdirect</v>
      </c>
      <c r="H135" s="7">
        <f t="shared" si="2"/>
        <v>0</v>
      </c>
      <c r="I135" s="5">
        <f>COUNTIF('Raw Data'!$B$2:$B$410,A135)</f>
        <v>1</v>
      </c>
    </row>
    <row r="136" spans="1:9" hidden="1" x14ac:dyDescent="0.35">
      <c r="A136" s="5">
        <v>60473</v>
      </c>
      <c r="B136" s="6" t="str">
        <f>INDEX('Raw Data'!$D$2:$D$410,MATCH(A136,'Raw Data'!$B$2:$B$410,0))</f>
        <v>LEGO 60473 The City Tower</v>
      </c>
      <c r="C136" s="5" t="str">
        <f>INDEX('Raw Data'!$C$2:$C$410,MATCH(A136,'Raw Data'!$B$2:$B$410,0))</f>
        <v>Lego City</v>
      </c>
      <c r="D136" s="7">
        <f>_xlfn.MINIFS('Raw Data'!$E$2:$E$410,'Raw Data'!$B$2:$B$410,A136)</f>
        <v>232.15</v>
      </c>
      <c r="E136" s="5" t="str">
        <f>INDEX('Raw Data'!$A$2:$A$410,MATCH(1,INDEX(('Raw Data'!$B$2:$B$410=A136)*('Raw Data'!$E$2:$E$410=D136),0),0))</f>
        <v>bricksdirect</v>
      </c>
      <c r="F136" s="7">
        <f>_xlfn.MAXIFS('Raw Data'!$E$2:$E$410,'Raw Data'!$B$2:$B$410,A136)</f>
        <v>232.15</v>
      </c>
      <c r="G136" s="5" t="str">
        <f>INDEX('Raw Data'!$A$2:$A$410,MATCH(1,INDEX(('Raw Data'!$B$2:$B$410=A136)*('Raw Data'!$E$2:$E$410=F136),0),0))</f>
        <v>bricksdirect</v>
      </c>
      <c r="H136" s="7">
        <f t="shared" si="2"/>
        <v>0</v>
      </c>
      <c r="I136" s="5">
        <f>COUNTIF('Raw Data'!$B$2:$B$410,A136)</f>
        <v>1</v>
      </c>
    </row>
    <row r="137" spans="1:9" hidden="1" x14ac:dyDescent="0.35">
      <c r="A137" s="5">
        <v>60474</v>
      </c>
      <c r="B137" s="6" t="str">
        <f>INDEX('Raw Data'!$D$2:$D$410,MATCH(A137,'Raw Data'!$B$2:$B$410,0))</f>
        <v>LEGO 60474 F1 Grid with VCARB &amp; Sauber Race Cars</v>
      </c>
      <c r="C137" s="5" t="str">
        <f>INDEX('Raw Data'!$C$2:$C$410,MATCH(A137,'Raw Data'!$B$2:$B$410,0))</f>
        <v>Lego City</v>
      </c>
      <c r="D137" s="7">
        <f>_xlfn.MINIFS('Raw Data'!$E$2:$E$410,'Raw Data'!$B$2:$B$410,A137)</f>
        <v>44.21</v>
      </c>
      <c r="E137" s="5" t="str">
        <f>INDEX('Raw Data'!$A$2:$A$410,MATCH(1,INDEX(('Raw Data'!$B$2:$B$410=A137)*('Raw Data'!$E$2:$E$410=D137),0),0))</f>
        <v>bricksdirect</v>
      </c>
      <c r="F137" s="7">
        <f>_xlfn.MAXIFS('Raw Data'!$E$2:$E$410,'Raw Data'!$B$2:$B$410,A137)</f>
        <v>44.21</v>
      </c>
      <c r="G137" s="5" t="str">
        <f>INDEX('Raw Data'!$A$2:$A$410,MATCH(1,INDEX(('Raw Data'!$B$2:$B$410=A137)*('Raw Data'!$E$2:$E$410=F137),0),0))</f>
        <v>bricksdirect</v>
      </c>
      <c r="H137" s="7">
        <f t="shared" si="2"/>
        <v>0</v>
      </c>
      <c r="I137" s="5">
        <f>COUNTIF('Raw Data'!$B$2:$B$410,A137)</f>
        <v>1</v>
      </c>
    </row>
    <row r="138" spans="1:9" x14ac:dyDescent="0.35">
      <c r="A138" s="5">
        <v>60478</v>
      </c>
      <c r="B138" s="6" t="str">
        <f>INDEX('Raw Data'!$D$2:$D$410,MATCH(A138,'Raw Data'!$B$2:$B$410,0))</f>
        <v>LEGO 60478 Cement Mixer</v>
      </c>
      <c r="C138" s="5" t="str">
        <f>INDEX('Raw Data'!$C$2:$C$410,MATCH(A138,'Raw Data'!$B$2:$B$410,0))</f>
        <v>Lego City</v>
      </c>
      <c r="D138" s="7">
        <f>_xlfn.MINIFS('Raw Data'!$E$2:$E$410,'Raw Data'!$B$2:$B$410,A138)</f>
        <v>33.99</v>
      </c>
      <c r="E138" s="5" t="str">
        <f>INDEX('Raw Data'!$A$2:$A$410,MATCH(1,INDEX(('Raw Data'!$B$2:$B$410=A138)*('Raw Data'!$E$2:$E$410=D138),0),0))</f>
        <v>JB Spielwaren</v>
      </c>
      <c r="F138" s="7">
        <f>_xlfn.MAXIFS('Raw Data'!$E$2:$E$410,'Raw Data'!$B$2:$B$410,A138)</f>
        <v>37.58</v>
      </c>
      <c r="G138" s="5" t="str">
        <f>INDEX('Raw Data'!$A$2:$A$410,MATCH(1,INDEX(('Raw Data'!$B$2:$B$410=A138)*('Raw Data'!$E$2:$E$410=F138),0),0))</f>
        <v>bricksdirect</v>
      </c>
      <c r="H138" s="7">
        <f t="shared" si="2"/>
        <v>3.5899999999999963</v>
      </c>
      <c r="I138" s="5">
        <f>COUNTIF('Raw Data'!$B$2:$B$410,A138)</f>
        <v>2</v>
      </c>
    </row>
    <row r="139" spans="1:9" x14ac:dyDescent="0.35">
      <c r="A139" s="5">
        <v>60479</v>
      </c>
      <c r="B139" s="6" t="str">
        <f>INDEX('Raw Data'!$D$2:$D$410,MATCH(A139,'Raw Data'!$B$2:$B$410,0))</f>
        <v>LEGO City 60479 Police Prisoner Transport Van...</v>
      </c>
      <c r="C139" s="5" t="str">
        <f>INDEX('Raw Data'!$C$2:$C$410,MATCH(A139,'Raw Data'!$B$2:$B$410,0))</f>
        <v>Lego City</v>
      </c>
      <c r="D139" s="7">
        <f>_xlfn.MINIFS('Raw Data'!$E$2:$E$410,'Raw Data'!$B$2:$B$410,A139)</f>
        <v>15.88</v>
      </c>
      <c r="E139" s="5" t="str">
        <f>INDEX('Raw Data'!$A$2:$A$410,MATCH(1,INDEX(('Raw Data'!$B$2:$B$410=A139)*('Raw Data'!$E$2:$E$410=D139),0),0))</f>
        <v>Brickmo</v>
      </c>
      <c r="F139" s="7">
        <f>_xlfn.MAXIFS('Raw Data'!$E$2:$E$410,'Raw Data'!$B$2:$B$410,A139)</f>
        <v>18.78</v>
      </c>
      <c r="G139" s="5" t="str">
        <f>INDEX('Raw Data'!$A$2:$A$410,MATCH(1,INDEX(('Raw Data'!$B$2:$B$410=A139)*('Raw Data'!$E$2:$E$410=F139),0),0))</f>
        <v>bricksdirect</v>
      </c>
      <c r="H139" s="7">
        <f t="shared" si="2"/>
        <v>2.9000000000000004</v>
      </c>
      <c r="I139" s="5">
        <f>COUNTIF('Raw Data'!$B$2:$B$410,A139)</f>
        <v>3</v>
      </c>
    </row>
    <row r="140" spans="1:9" x14ac:dyDescent="0.35">
      <c r="A140" s="5">
        <v>60480</v>
      </c>
      <c r="B140" s="6" t="str">
        <f>INDEX('Raw Data'!$D$2:$D$410,MATCH(A140,'Raw Data'!$B$2:$B$410,0))</f>
        <v>LEGO City 60480 Yellow Backhoe Loader 60480</v>
      </c>
      <c r="C140" s="5" t="str">
        <f>INDEX('Raw Data'!$C$2:$C$410,MATCH(A140,'Raw Data'!$B$2:$B$410,0))</f>
        <v>Lego City</v>
      </c>
      <c r="D140" s="7">
        <f>_xlfn.MINIFS('Raw Data'!$E$2:$E$410,'Raw Data'!$B$2:$B$410,A140)</f>
        <v>21.99</v>
      </c>
      <c r="E140" s="5" t="str">
        <f>INDEX('Raw Data'!$A$2:$A$410,MATCH(1,INDEX(('Raw Data'!$B$2:$B$410=A140)*('Raw Data'!$E$2:$E$410=D140),0),0))</f>
        <v>Brickmo</v>
      </c>
      <c r="F140" s="7">
        <f>_xlfn.MAXIFS('Raw Data'!$E$2:$E$410,'Raw Data'!$B$2:$B$410,A140)</f>
        <v>28.73</v>
      </c>
      <c r="G140" s="5" t="str">
        <f>INDEX('Raw Data'!$A$2:$A$410,MATCH(1,INDEX(('Raw Data'!$B$2:$B$410=A140)*('Raw Data'!$E$2:$E$410=F140),0),0))</f>
        <v>bricksdirect</v>
      </c>
      <c r="H140" s="7">
        <f t="shared" si="2"/>
        <v>6.740000000000002</v>
      </c>
      <c r="I140" s="5">
        <f>COUNTIF('Raw Data'!$B$2:$B$410,A140)</f>
        <v>3</v>
      </c>
    </row>
    <row r="141" spans="1:9" x14ac:dyDescent="0.35">
      <c r="A141" s="5">
        <v>60481</v>
      </c>
      <c r="B141" s="6" t="str">
        <f>INDEX('Raw Data'!$D$2:$D$410,MATCH(A141,'Raw Data'!$B$2:$B$410,0))</f>
        <v>LEGO City 60481 Rides – Police Truck 60481</v>
      </c>
      <c r="C141" s="5" t="str">
        <f>INDEX('Raw Data'!$C$2:$C$410,MATCH(A141,'Raw Data'!$B$2:$B$410,0))</f>
        <v>Lego City</v>
      </c>
      <c r="D141" s="7">
        <f>_xlfn.MINIFS('Raw Data'!$E$2:$E$410,'Raw Data'!$B$2:$B$410,A141)</f>
        <v>7.43</v>
      </c>
      <c r="E141" s="5" t="str">
        <f>INDEX('Raw Data'!$A$2:$A$410,MATCH(1,INDEX(('Raw Data'!$B$2:$B$410=A141)*('Raw Data'!$E$2:$E$410=D141),0),0))</f>
        <v>Brickmo</v>
      </c>
      <c r="F141" s="7">
        <f>_xlfn.MAXIFS('Raw Data'!$E$2:$E$410,'Raw Data'!$B$2:$B$410,A141)</f>
        <v>9.94</v>
      </c>
      <c r="G141" s="5" t="str">
        <f>INDEX('Raw Data'!$A$2:$A$410,MATCH(1,INDEX(('Raw Data'!$B$2:$B$410=A141)*('Raw Data'!$E$2:$E$410=F141),0),0))</f>
        <v>bricksdirect</v>
      </c>
      <c r="H141" s="7">
        <f t="shared" si="2"/>
        <v>2.5099999999999998</v>
      </c>
      <c r="I141" s="5">
        <f>COUNTIF('Raw Data'!$B$2:$B$410,A141)</f>
        <v>3</v>
      </c>
    </row>
    <row r="142" spans="1:9" x14ac:dyDescent="0.35">
      <c r="A142" s="5">
        <v>60482</v>
      </c>
      <c r="B142" s="6" t="str">
        <f>INDEX('Raw Data'!$D$2:$D$410,MATCH(A142,'Raw Data'!$B$2:$B$410,0))</f>
        <v>LEGO City 60482 Rides – Fire Truck 60482</v>
      </c>
      <c r="C142" s="5" t="str">
        <f>INDEX('Raw Data'!$C$2:$C$410,MATCH(A142,'Raw Data'!$B$2:$B$410,0))</f>
        <v>Lego City</v>
      </c>
      <c r="D142" s="7">
        <f>_xlfn.MINIFS('Raw Data'!$E$2:$E$410,'Raw Data'!$B$2:$B$410,A142)</f>
        <v>7.43</v>
      </c>
      <c r="E142" s="5" t="str">
        <f>INDEX('Raw Data'!$A$2:$A$410,MATCH(1,INDEX(('Raw Data'!$B$2:$B$410=A142)*('Raw Data'!$E$2:$E$410=D142),0),0))</f>
        <v>Brickmo</v>
      </c>
      <c r="F142" s="7">
        <f>_xlfn.MAXIFS('Raw Data'!$E$2:$E$410,'Raw Data'!$B$2:$B$410,A142)</f>
        <v>9.94</v>
      </c>
      <c r="G142" s="5" t="str">
        <f>INDEX('Raw Data'!$A$2:$A$410,MATCH(1,INDEX(('Raw Data'!$B$2:$B$410=A142)*('Raw Data'!$E$2:$E$410=F142),0),0))</f>
        <v>bricksdirect</v>
      </c>
      <c r="H142" s="7">
        <f t="shared" si="2"/>
        <v>2.5099999999999998</v>
      </c>
      <c r="I142" s="5">
        <f>COUNTIF('Raw Data'!$B$2:$B$410,A142)</f>
        <v>3</v>
      </c>
    </row>
    <row r="143" spans="1:9" x14ac:dyDescent="0.35">
      <c r="A143" s="5">
        <v>60483</v>
      </c>
      <c r="B143" s="6" t="str">
        <f>INDEX('Raw Data'!$D$2:$D$410,MATCH(A143,'Raw Data'!$B$2:$B$410,0))</f>
        <v>LEGO City 60483 Rides – Construction Loader 60483</v>
      </c>
      <c r="C143" s="5" t="str">
        <f>INDEX('Raw Data'!$C$2:$C$410,MATCH(A143,'Raw Data'!$B$2:$B$410,0))</f>
        <v>Lego City</v>
      </c>
      <c r="D143" s="7">
        <f>_xlfn.MINIFS('Raw Data'!$E$2:$E$410,'Raw Data'!$B$2:$B$410,A143)</f>
        <v>7.43</v>
      </c>
      <c r="E143" s="5" t="str">
        <f>INDEX('Raw Data'!$A$2:$A$410,MATCH(1,INDEX(('Raw Data'!$B$2:$B$410=A143)*('Raw Data'!$E$2:$E$410=D143),0),0))</f>
        <v>Brickmo</v>
      </c>
      <c r="F143" s="7">
        <f>_xlfn.MAXIFS('Raw Data'!$E$2:$E$410,'Raw Data'!$B$2:$B$410,A143)</f>
        <v>9.94</v>
      </c>
      <c r="G143" s="5" t="str">
        <f>INDEX('Raw Data'!$A$2:$A$410,MATCH(1,INDEX(('Raw Data'!$B$2:$B$410=A143)*('Raw Data'!$E$2:$E$410=F143),0),0))</f>
        <v>bricksdirect</v>
      </c>
      <c r="H143" s="7">
        <f t="shared" si="2"/>
        <v>2.5099999999999998</v>
      </c>
      <c r="I143" s="5">
        <f>COUNTIF('Raw Data'!$B$2:$B$410,A143)</f>
        <v>3</v>
      </c>
    </row>
    <row r="144" spans="1:9" x14ac:dyDescent="0.35">
      <c r="A144" s="5">
        <v>60484</v>
      </c>
      <c r="B144" s="6" t="str">
        <f>INDEX('Raw Data'!$D$2:$D$410,MATCH(A144,'Raw Data'!$B$2:$B$410,0))</f>
        <v>LEGO City 60484 Rides – Gaming Race Car 60484</v>
      </c>
      <c r="C144" s="5" t="str">
        <f>INDEX('Raw Data'!$C$2:$C$410,MATCH(A144,'Raw Data'!$B$2:$B$410,0))</f>
        <v>Lego City</v>
      </c>
      <c r="D144" s="7">
        <f>_xlfn.MINIFS('Raw Data'!$E$2:$E$410,'Raw Data'!$B$2:$B$410,A144)</f>
        <v>7.43</v>
      </c>
      <c r="E144" s="5" t="str">
        <f>INDEX('Raw Data'!$A$2:$A$410,MATCH(1,INDEX(('Raw Data'!$B$2:$B$410=A144)*('Raw Data'!$E$2:$E$410=D144),0),0))</f>
        <v>Brickmo</v>
      </c>
      <c r="F144" s="7">
        <f>_xlfn.MAXIFS('Raw Data'!$E$2:$E$410,'Raw Data'!$B$2:$B$410,A144)</f>
        <v>9.94</v>
      </c>
      <c r="G144" s="5" t="str">
        <f>INDEX('Raw Data'!$A$2:$A$410,MATCH(1,INDEX(('Raw Data'!$B$2:$B$410=A144)*('Raw Data'!$E$2:$E$410=F144),0),0))</f>
        <v>bricksdirect</v>
      </c>
      <c r="H144" s="7">
        <f t="shared" si="2"/>
        <v>2.5099999999999998</v>
      </c>
      <c r="I144" s="5">
        <f>COUNTIF('Raw Data'!$B$2:$B$410,A144)</f>
        <v>3</v>
      </c>
    </row>
    <row r="145" spans="1:9" x14ac:dyDescent="0.35">
      <c r="A145" s="5">
        <v>60485</v>
      </c>
      <c r="B145" s="6" t="str">
        <f>INDEX('Raw Data'!$D$2:$D$410,MATCH(A145,'Raw Data'!$B$2:$B$410,0))</f>
        <v>LEGO 60485 Hot Rod</v>
      </c>
      <c r="C145" s="5" t="str">
        <f>INDEX('Raw Data'!$C$2:$C$410,MATCH(A145,'Raw Data'!$B$2:$B$410,0))</f>
        <v>Lego City</v>
      </c>
      <c r="D145" s="7">
        <f>_xlfn.MINIFS('Raw Data'!$E$2:$E$410,'Raw Data'!$B$2:$B$410,A145)</f>
        <v>8.49</v>
      </c>
      <c r="E145" s="5" t="str">
        <f>INDEX('Raw Data'!$A$2:$A$410,MATCH(1,INDEX(('Raw Data'!$B$2:$B$410=A145)*('Raw Data'!$E$2:$E$410=D145),0),0))</f>
        <v>JB Spielwaren</v>
      </c>
      <c r="F145" s="7">
        <f>_xlfn.MAXIFS('Raw Data'!$E$2:$E$410,'Raw Data'!$B$2:$B$410,A145)</f>
        <v>9.94</v>
      </c>
      <c r="G145" s="5" t="str">
        <f>INDEX('Raw Data'!$A$2:$A$410,MATCH(1,INDEX(('Raw Data'!$B$2:$B$410=A145)*('Raw Data'!$E$2:$E$410=F145),0),0))</f>
        <v>bricksdirect</v>
      </c>
      <c r="H145" s="7">
        <f t="shared" si="2"/>
        <v>1.4499999999999993</v>
      </c>
      <c r="I145" s="5">
        <f>COUNTIF('Raw Data'!$B$2:$B$410,A145)</f>
        <v>2</v>
      </c>
    </row>
    <row r="146" spans="1:9" x14ac:dyDescent="0.35">
      <c r="A146" s="5">
        <v>60486</v>
      </c>
      <c r="B146" s="6" t="str">
        <f>INDEX('Raw Data'!$D$2:$D$410,MATCH(A146,'Raw Data'!$B$2:$B$410,0))</f>
        <v>LEGO City 60486 EV Supercar 60486</v>
      </c>
      <c r="C146" s="5" t="str">
        <f>INDEX('Raw Data'!$C$2:$C$410,MATCH(A146,'Raw Data'!$B$2:$B$410,0))</f>
        <v>Lego City</v>
      </c>
      <c r="D146" s="7">
        <f>_xlfn.MINIFS('Raw Data'!$E$2:$E$410,'Raw Data'!$B$2:$B$410,A146)</f>
        <v>8.4600000000000009</v>
      </c>
      <c r="E146" s="5" t="str">
        <f>INDEX('Raw Data'!$A$2:$A$410,MATCH(1,INDEX(('Raw Data'!$B$2:$B$410=A146)*('Raw Data'!$E$2:$E$410=D146),0),0))</f>
        <v>Brickmo</v>
      </c>
      <c r="F146" s="7">
        <f>_xlfn.MAXIFS('Raw Data'!$E$2:$E$410,'Raw Data'!$B$2:$B$410,A146)</f>
        <v>9.94</v>
      </c>
      <c r="G146" s="5" t="str">
        <f>INDEX('Raw Data'!$A$2:$A$410,MATCH(1,INDEX(('Raw Data'!$B$2:$B$410=A146)*('Raw Data'!$E$2:$E$410=F146),0),0))</f>
        <v>bricksdirect</v>
      </c>
      <c r="H146" s="7">
        <f t="shared" si="2"/>
        <v>1.4799999999999986</v>
      </c>
      <c r="I146" s="5">
        <f>COUNTIF('Raw Data'!$B$2:$B$410,A146)</f>
        <v>3</v>
      </c>
    </row>
    <row r="147" spans="1:9" x14ac:dyDescent="0.35">
      <c r="A147" s="5">
        <v>60487</v>
      </c>
      <c r="B147" s="6" t="str">
        <f>INDEX('Raw Data'!$D$2:$D$410,MATCH(A147,'Raw Data'!$B$2:$B$410,0))</f>
        <v>LEGO 60487 Yellow Taxi</v>
      </c>
      <c r="C147" s="5" t="str">
        <f>INDEX('Raw Data'!$C$2:$C$410,MATCH(A147,'Raw Data'!$B$2:$B$410,0))</f>
        <v>Lego City</v>
      </c>
      <c r="D147" s="7">
        <f>_xlfn.MINIFS('Raw Data'!$E$2:$E$410,'Raw Data'!$B$2:$B$410,A147)</f>
        <v>12.74</v>
      </c>
      <c r="E147" s="5" t="str">
        <f>INDEX('Raw Data'!$A$2:$A$410,MATCH(1,INDEX(('Raw Data'!$B$2:$B$410=A147)*('Raw Data'!$E$2:$E$410=D147),0),0))</f>
        <v>JB Spielwaren</v>
      </c>
      <c r="F147" s="7">
        <f>_xlfn.MAXIFS('Raw Data'!$E$2:$E$410,'Raw Data'!$B$2:$B$410,A147)</f>
        <v>16.57</v>
      </c>
      <c r="G147" s="5" t="str">
        <f>INDEX('Raw Data'!$A$2:$A$410,MATCH(1,INDEX(('Raw Data'!$B$2:$B$410=A147)*('Raw Data'!$E$2:$E$410=F147),0),0))</f>
        <v>bricksdirect</v>
      </c>
      <c r="H147" s="7">
        <f t="shared" si="2"/>
        <v>3.83</v>
      </c>
      <c r="I147" s="5">
        <f>COUNTIF('Raw Data'!$B$2:$B$410,A147)</f>
        <v>3</v>
      </c>
    </row>
    <row r="148" spans="1:9" x14ac:dyDescent="0.35">
      <c r="A148" s="5">
        <v>60488</v>
      </c>
      <c r="B148" s="6" t="str">
        <f>INDEX('Raw Data'!$D$2:$D$410,MATCH(A148,'Raw Data'!$B$2:$B$410,0))</f>
        <v>LEGO 60488 Fries Food Truck</v>
      </c>
      <c r="C148" s="5" t="str">
        <f>INDEX('Raw Data'!$C$2:$C$410,MATCH(A148,'Raw Data'!$B$2:$B$410,0))</f>
        <v>Lego City</v>
      </c>
      <c r="D148" s="7">
        <f>_xlfn.MINIFS('Raw Data'!$E$2:$E$410,'Raw Data'!$B$2:$B$410,A148)</f>
        <v>16.989999999999998</v>
      </c>
      <c r="E148" s="5" t="str">
        <f>INDEX('Raw Data'!$A$2:$A$410,MATCH(1,INDEX(('Raw Data'!$B$2:$B$410=A148)*('Raw Data'!$E$2:$E$410=D148),0),0))</f>
        <v>JB Spielwaren</v>
      </c>
      <c r="F148" s="7">
        <f>_xlfn.MAXIFS('Raw Data'!$E$2:$E$410,'Raw Data'!$B$2:$B$410,A148)</f>
        <v>22.1</v>
      </c>
      <c r="G148" s="5" t="str">
        <f>INDEX('Raw Data'!$A$2:$A$410,MATCH(1,INDEX(('Raw Data'!$B$2:$B$410=A148)*('Raw Data'!$E$2:$E$410=F148),0),0))</f>
        <v>bricksdirect</v>
      </c>
      <c r="H148" s="7">
        <f t="shared" si="2"/>
        <v>5.110000000000003</v>
      </c>
      <c r="I148" s="5">
        <f>COUNTIF('Raw Data'!$B$2:$B$410,A148)</f>
        <v>2</v>
      </c>
    </row>
    <row r="149" spans="1:9" x14ac:dyDescent="0.35">
      <c r="A149" s="5">
        <v>60489</v>
      </c>
      <c r="B149" s="6" t="str">
        <f>INDEX('Raw Data'!$D$2:$D$410,MATCH(A149,'Raw Data'!$B$2:$B$410,0))</f>
        <v>LEGO 60489 Jet vs. Car</v>
      </c>
      <c r="C149" s="5" t="str">
        <f>INDEX('Raw Data'!$C$2:$C$410,MATCH(A149,'Raw Data'!$B$2:$B$410,0))</f>
        <v>Lego City</v>
      </c>
      <c r="D149" s="7">
        <f>_xlfn.MINIFS('Raw Data'!$E$2:$E$410,'Raw Data'!$B$2:$B$410,A149)</f>
        <v>25.49</v>
      </c>
      <c r="E149" s="5" t="str">
        <f>INDEX('Raw Data'!$A$2:$A$410,MATCH(1,INDEX(('Raw Data'!$B$2:$B$410=A149)*('Raw Data'!$E$2:$E$410=D149),0),0))</f>
        <v>JB Spielwaren</v>
      </c>
      <c r="F149" s="7">
        <f>_xlfn.MAXIFS('Raw Data'!$E$2:$E$410,'Raw Data'!$B$2:$B$410,A149)</f>
        <v>28.73</v>
      </c>
      <c r="G149" s="5" t="str">
        <f>INDEX('Raw Data'!$A$2:$A$410,MATCH(1,INDEX(('Raw Data'!$B$2:$B$410=A149)*('Raw Data'!$E$2:$E$410=F149),0),0))</f>
        <v>bricksdirect</v>
      </c>
      <c r="H149" s="7">
        <f t="shared" si="2"/>
        <v>3.240000000000002</v>
      </c>
      <c r="I149" s="5">
        <f>COUNTIF('Raw Data'!$B$2:$B$410,A149)</f>
        <v>2</v>
      </c>
    </row>
    <row r="150" spans="1:9" x14ac:dyDescent="0.35">
      <c r="A150" s="5">
        <v>60490</v>
      </c>
      <c r="B150" s="6" t="str">
        <f>INDEX('Raw Data'!$D$2:$D$410,MATCH(A150,'Raw Data'!$B$2:$B$410,0))</f>
        <v>LEGO 60490 Snowplow</v>
      </c>
      <c r="C150" s="5" t="str">
        <f>INDEX('Raw Data'!$C$2:$C$410,MATCH(A150,'Raw Data'!$B$2:$B$410,0))</f>
        <v>Lego City</v>
      </c>
      <c r="D150" s="7">
        <f>_xlfn.MINIFS('Raw Data'!$E$2:$E$410,'Raw Data'!$B$2:$B$410,A150)</f>
        <v>21.24</v>
      </c>
      <c r="E150" s="5" t="str">
        <f>INDEX('Raw Data'!$A$2:$A$410,MATCH(1,INDEX(('Raw Data'!$B$2:$B$410=A150)*('Raw Data'!$E$2:$E$410=D150),0),0))</f>
        <v>JB Spielwaren</v>
      </c>
      <c r="F150" s="7">
        <f>_xlfn.MAXIFS('Raw Data'!$E$2:$E$410,'Raw Data'!$B$2:$B$410,A150)</f>
        <v>24.31</v>
      </c>
      <c r="G150" s="5" t="str">
        <f>INDEX('Raw Data'!$A$2:$A$410,MATCH(1,INDEX(('Raw Data'!$B$2:$B$410=A150)*('Raw Data'!$E$2:$E$410=F150),0),0))</f>
        <v>bricksdirect</v>
      </c>
      <c r="H150" s="7">
        <f t="shared" si="2"/>
        <v>3.0700000000000003</v>
      </c>
      <c r="I150" s="5">
        <f>COUNTIF('Raw Data'!$B$2:$B$410,A150)</f>
        <v>3</v>
      </c>
    </row>
    <row r="151" spans="1:9" x14ac:dyDescent="0.35">
      <c r="A151" s="5">
        <v>60491</v>
      </c>
      <c r="B151" s="6" t="str">
        <f>INDEX('Raw Data'!$D$2:$D$410,MATCH(A151,'Raw Data'!$B$2:$B$410,0))</f>
        <v>LEGO 60491 Motorcycle Transporter</v>
      </c>
      <c r="C151" s="5" t="str">
        <f>INDEX('Raw Data'!$C$2:$C$410,MATCH(A151,'Raw Data'!$B$2:$B$410,0))</f>
        <v>Lego City</v>
      </c>
      <c r="D151" s="7">
        <f>_xlfn.MINIFS('Raw Data'!$E$2:$E$410,'Raw Data'!$B$2:$B$410,A151)</f>
        <v>16.989999999999998</v>
      </c>
      <c r="E151" s="5" t="str">
        <f>INDEX('Raw Data'!$A$2:$A$410,MATCH(1,INDEX(('Raw Data'!$B$2:$B$410=A151)*('Raw Data'!$E$2:$E$410=D151),0),0))</f>
        <v>JB Spielwaren</v>
      </c>
      <c r="F151" s="7">
        <f>_xlfn.MAXIFS('Raw Data'!$E$2:$E$410,'Raw Data'!$B$2:$B$410,A151)</f>
        <v>21.07</v>
      </c>
      <c r="G151" s="5" t="str">
        <f>INDEX('Raw Data'!$A$2:$A$410,MATCH(1,INDEX(('Raw Data'!$B$2:$B$410=A151)*('Raw Data'!$E$2:$E$410=F151),0),0))</f>
        <v>Zavvi</v>
      </c>
      <c r="H151" s="7">
        <f t="shared" si="2"/>
        <v>4.0800000000000018</v>
      </c>
      <c r="I151" s="5">
        <f>COUNTIF('Raw Data'!$B$2:$B$410,A151)</f>
        <v>3</v>
      </c>
    </row>
    <row r="152" spans="1:9" x14ac:dyDescent="0.35">
      <c r="A152" s="5">
        <v>60492</v>
      </c>
      <c r="B152" s="6" t="str">
        <f>INDEX('Raw Data'!$D$2:$D$410,MATCH(A152,'Raw Data'!$B$2:$B$410,0))</f>
        <v>LEGO City 60492 Passenger Jet 60492</v>
      </c>
      <c r="C152" s="5" t="str">
        <f>INDEX('Raw Data'!$C$2:$C$410,MATCH(A152,'Raw Data'!$B$2:$B$410,0))</f>
        <v>Lego City</v>
      </c>
      <c r="D152" s="7">
        <f>_xlfn.MINIFS('Raw Data'!$E$2:$E$410,'Raw Data'!$B$2:$B$410,A152)</f>
        <v>21.99</v>
      </c>
      <c r="E152" s="5" t="str">
        <f>INDEX('Raw Data'!$A$2:$A$410,MATCH(1,INDEX(('Raw Data'!$B$2:$B$410=A152)*('Raw Data'!$E$2:$E$410=D152),0),0))</f>
        <v>Brickmo</v>
      </c>
      <c r="F152" s="7">
        <f>_xlfn.MAXIFS('Raw Data'!$E$2:$E$410,'Raw Data'!$B$2:$B$410,A152)</f>
        <v>28.73</v>
      </c>
      <c r="G152" s="5" t="str">
        <f>INDEX('Raw Data'!$A$2:$A$410,MATCH(1,INDEX(('Raw Data'!$B$2:$B$410=A152)*('Raw Data'!$E$2:$E$410=F152),0),0))</f>
        <v>bricksdirect</v>
      </c>
      <c r="H152" s="7">
        <f t="shared" si="2"/>
        <v>6.740000000000002</v>
      </c>
      <c r="I152" s="5">
        <f>COUNTIF('Raw Data'!$B$2:$B$410,A152)</f>
        <v>3</v>
      </c>
    </row>
    <row r="153" spans="1:9" x14ac:dyDescent="0.35">
      <c r="A153" s="5">
        <v>60493</v>
      </c>
      <c r="B153" s="6" t="str">
        <f>INDEX('Raw Data'!$D$2:$D$410,MATCH(A153,'Raw Data'!$B$2:$B$410,0))</f>
        <v>LEGO 60493 F1 Display Truck with Audi F1 Race Car</v>
      </c>
      <c r="C153" s="5" t="str">
        <f>INDEX('Raw Data'!$C$2:$C$410,MATCH(A153,'Raw Data'!$B$2:$B$410,0))</f>
        <v>Lego City</v>
      </c>
      <c r="D153" s="7">
        <f>_xlfn.MINIFS('Raw Data'!$E$2:$E$410,'Raw Data'!$B$2:$B$410,A153)</f>
        <v>38.24</v>
      </c>
      <c r="E153" s="5" t="str">
        <f>INDEX('Raw Data'!$A$2:$A$410,MATCH(1,INDEX(('Raw Data'!$B$2:$B$410=A153)*('Raw Data'!$E$2:$E$410=D153),0),0))</f>
        <v>JB Spielwaren</v>
      </c>
      <c r="F153" s="7">
        <f>_xlfn.MAXIFS('Raw Data'!$E$2:$E$410,'Raw Data'!$B$2:$B$410,A153)</f>
        <v>43.1</v>
      </c>
      <c r="G153" s="5" t="str">
        <f>INDEX('Raw Data'!$A$2:$A$410,MATCH(1,INDEX(('Raw Data'!$B$2:$B$410=A153)*('Raw Data'!$E$2:$E$410=F153),0),0))</f>
        <v>bricksdirect</v>
      </c>
      <c r="H153" s="7">
        <f t="shared" si="2"/>
        <v>4.8599999999999994</v>
      </c>
      <c r="I153" s="5">
        <f>COUNTIF('Raw Data'!$B$2:$B$410,A153)</f>
        <v>2</v>
      </c>
    </row>
    <row r="154" spans="1:9" x14ac:dyDescent="0.35">
      <c r="A154" s="5">
        <v>60494</v>
      </c>
      <c r="B154" s="6" t="str">
        <f>INDEX('Raw Data'!$D$2:$D$410,MATCH(A154,'Raw Data'!$B$2:$B$410,0))</f>
        <v>LEGO City 60494 Dump Truck &amp; Front End Loader...</v>
      </c>
      <c r="C154" s="5" t="str">
        <f>INDEX('Raw Data'!$C$2:$C$410,MATCH(A154,'Raw Data'!$B$2:$B$410,0))</f>
        <v>Lego City</v>
      </c>
      <c r="D154" s="7">
        <f>_xlfn.MINIFS('Raw Data'!$E$2:$E$410,'Raw Data'!$B$2:$B$410,A154)</f>
        <v>96.86</v>
      </c>
      <c r="E154" s="5" t="str">
        <f>INDEX('Raw Data'!$A$2:$A$410,MATCH(1,INDEX(('Raw Data'!$B$2:$B$410=A154)*('Raw Data'!$E$2:$E$410=D154),0),0))</f>
        <v>Brickmo</v>
      </c>
      <c r="F154" s="7">
        <f>_xlfn.MAXIFS('Raw Data'!$E$2:$E$410,'Raw Data'!$B$2:$B$410,A154)</f>
        <v>112.75</v>
      </c>
      <c r="G154" s="5" t="str">
        <f>INDEX('Raw Data'!$A$2:$A$410,MATCH(1,INDEX(('Raw Data'!$B$2:$B$410=A154)*('Raw Data'!$E$2:$E$410=F154),0),0))</f>
        <v>bricksdirect</v>
      </c>
      <c r="H154" s="7">
        <f t="shared" si="2"/>
        <v>15.89</v>
      </c>
      <c r="I154" s="5">
        <f>COUNTIF('Raw Data'!$B$2:$B$410,A154)</f>
        <v>3</v>
      </c>
    </row>
    <row r="155" spans="1:9" hidden="1" x14ac:dyDescent="0.35">
      <c r="A155" s="5">
        <v>60495</v>
      </c>
      <c r="B155" s="6" t="str">
        <f>INDEX('Raw Data'!$D$2:$D$410,MATCH(A155,'Raw Data'!$B$2:$B$410,0))</f>
        <v>LEGO 60495 Recycling Truck</v>
      </c>
      <c r="C155" s="5" t="str">
        <f>INDEX('Raw Data'!$C$2:$C$410,MATCH(A155,'Raw Data'!$B$2:$B$410,0))</f>
        <v>Lego City</v>
      </c>
      <c r="D155" s="7">
        <f>_xlfn.MINIFS('Raw Data'!$E$2:$E$410,'Raw Data'!$B$2:$B$410,A155)</f>
        <v>60.79</v>
      </c>
      <c r="E155" s="5" t="str">
        <f>INDEX('Raw Data'!$A$2:$A$410,MATCH(1,INDEX(('Raw Data'!$B$2:$B$410=A155)*('Raw Data'!$E$2:$E$410=D155),0),0))</f>
        <v>bricksdirect</v>
      </c>
      <c r="F155" s="7">
        <f>_xlfn.MAXIFS('Raw Data'!$E$2:$E$410,'Raw Data'!$B$2:$B$410,A155)</f>
        <v>60.79</v>
      </c>
      <c r="G155" s="5" t="str">
        <f>INDEX('Raw Data'!$A$2:$A$410,MATCH(1,INDEX(('Raw Data'!$B$2:$B$410=A155)*('Raw Data'!$E$2:$E$410=F155),0),0))</f>
        <v>bricksdirect</v>
      </c>
      <c r="H155" s="7">
        <f t="shared" si="2"/>
        <v>0</v>
      </c>
      <c r="I155" s="5">
        <f>COUNTIF('Raw Data'!$B$2:$B$410,A155)</f>
        <v>1</v>
      </c>
    </row>
    <row r="156" spans="1:9" x14ac:dyDescent="0.35">
      <c r="A156" s="5">
        <v>60496</v>
      </c>
      <c r="B156" s="6" t="str">
        <f>INDEX('Raw Data'!$D$2:$D$410,MATCH(A156,'Raw Data'!$B$2:$B$410,0))</f>
        <v>LEGO 60496 Pizza Delivery Experience with Vehicles</v>
      </c>
      <c r="C156" s="5" t="str">
        <f>INDEX('Raw Data'!$C$2:$C$410,MATCH(A156,'Raw Data'!$B$2:$B$410,0))</f>
        <v>Lego City</v>
      </c>
      <c r="D156" s="7">
        <f>_xlfn.MINIFS('Raw Data'!$E$2:$E$410,'Raw Data'!$B$2:$B$410,A156)</f>
        <v>42.49</v>
      </c>
      <c r="E156" s="5" t="str">
        <f>INDEX('Raw Data'!$A$2:$A$410,MATCH(1,INDEX(('Raw Data'!$B$2:$B$410=A156)*('Raw Data'!$E$2:$E$410=D156),0),0))</f>
        <v>JB Spielwaren</v>
      </c>
      <c r="F156" s="7">
        <f>_xlfn.MAXIFS('Raw Data'!$E$2:$E$410,'Raw Data'!$B$2:$B$410,A156)</f>
        <v>47.53</v>
      </c>
      <c r="G156" s="5" t="str">
        <f>INDEX('Raw Data'!$A$2:$A$410,MATCH(1,INDEX(('Raw Data'!$B$2:$B$410=A156)*('Raw Data'!$E$2:$E$410=F156),0),0))</f>
        <v>bricksdirect</v>
      </c>
      <c r="H156" s="7">
        <f t="shared" si="2"/>
        <v>5.0399999999999991</v>
      </c>
      <c r="I156" s="5">
        <f>COUNTIF('Raw Data'!$B$2:$B$410,A156)</f>
        <v>2</v>
      </c>
    </row>
    <row r="157" spans="1:9" x14ac:dyDescent="0.35">
      <c r="A157" s="5">
        <v>60497</v>
      </c>
      <c r="B157" s="6" t="str">
        <f>INDEX('Raw Data'!$D$2:$D$410,MATCH(A157,'Raw Data'!$B$2:$B$410,0))</f>
        <v>LEGO City 60497 Drive-Through Car Wash 60497</v>
      </c>
      <c r="C157" s="5" t="str">
        <f>INDEX('Raw Data'!$C$2:$C$410,MATCH(A157,'Raw Data'!$B$2:$B$410,0))</f>
        <v>Lego City</v>
      </c>
      <c r="D157" s="7">
        <f>_xlfn.MINIFS('Raw Data'!$E$2:$E$410,'Raw Data'!$B$2:$B$410,A157)</f>
        <v>42.49</v>
      </c>
      <c r="E157" s="5" t="str">
        <f>INDEX('Raw Data'!$A$2:$A$410,MATCH(1,INDEX(('Raw Data'!$B$2:$B$410=A157)*('Raw Data'!$E$2:$E$410=D157),0),0))</f>
        <v>Brickmo</v>
      </c>
      <c r="F157" s="7">
        <f>_xlfn.MAXIFS('Raw Data'!$E$2:$E$410,'Raw Data'!$B$2:$B$410,A157)</f>
        <v>51.95</v>
      </c>
      <c r="G157" s="5" t="str">
        <f>INDEX('Raw Data'!$A$2:$A$410,MATCH(1,INDEX(('Raw Data'!$B$2:$B$410=A157)*('Raw Data'!$E$2:$E$410=F157),0),0))</f>
        <v>bricksdirect</v>
      </c>
      <c r="H157" s="7">
        <f t="shared" si="2"/>
        <v>9.4600000000000009</v>
      </c>
      <c r="I157" s="5">
        <f>COUNTIF('Raw Data'!$B$2:$B$410,A157)</f>
        <v>3</v>
      </c>
    </row>
    <row r="158" spans="1:9" x14ac:dyDescent="0.35">
      <c r="A158" s="5">
        <v>60498</v>
      </c>
      <c r="B158" s="6" t="str">
        <f>INDEX('Raw Data'!$D$2:$D$410,MATCH(A158,'Raw Data'!$B$2:$B$410,0))</f>
        <v>LEGO 60498 Tractor</v>
      </c>
      <c r="C158" s="5" t="str">
        <f>INDEX('Raw Data'!$C$2:$C$410,MATCH(A158,'Raw Data'!$B$2:$B$410,0))</f>
        <v>Lego City</v>
      </c>
      <c r="D158" s="7">
        <f>_xlfn.MINIFS('Raw Data'!$E$2:$E$410,'Raw Data'!$B$2:$B$410,A158)</f>
        <v>16.989999999999998</v>
      </c>
      <c r="E158" s="5" t="str">
        <f>INDEX('Raw Data'!$A$2:$A$410,MATCH(1,INDEX(('Raw Data'!$B$2:$B$410=A158)*('Raw Data'!$E$2:$E$410=D158),0),0))</f>
        <v>JB Spielwaren</v>
      </c>
      <c r="F158" s="7">
        <f>_xlfn.MAXIFS('Raw Data'!$E$2:$E$410,'Raw Data'!$B$2:$B$410,A158)</f>
        <v>18.78</v>
      </c>
      <c r="G158" s="5" t="str">
        <f>INDEX('Raw Data'!$A$2:$A$410,MATCH(1,INDEX(('Raw Data'!$B$2:$B$410=A158)*('Raw Data'!$E$2:$E$410=F158),0),0))</f>
        <v>bricksdirect</v>
      </c>
      <c r="H158" s="7">
        <f t="shared" si="2"/>
        <v>1.7900000000000027</v>
      </c>
      <c r="I158" s="5">
        <f>COUNTIF('Raw Data'!$B$2:$B$410,A158)</f>
        <v>2</v>
      </c>
    </row>
    <row r="159" spans="1:9" hidden="1" x14ac:dyDescent="0.35">
      <c r="A159" s="5">
        <v>60499</v>
      </c>
      <c r="B159" s="6" t="str">
        <f>INDEX('Raw Data'!$D$2:$D$410,MATCH(A159,'Raw Data'!$B$2:$B$410,0))</f>
        <v>LEGO 60499 Airport Fire Truck</v>
      </c>
      <c r="C159" s="5" t="str">
        <f>INDEX('Raw Data'!$C$2:$C$410,MATCH(A159,'Raw Data'!$B$2:$B$410,0))</f>
        <v>Lego City</v>
      </c>
      <c r="D159" s="7">
        <f>_xlfn.MINIFS('Raw Data'!$E$2:$E$410,'Raw Data'!$B$2:$B$410,A159)</f>
        <v>77.37</v>
      </c>
      <c r="E159" s="5" t="str">
        <f>INDEX('Raw Data'!$A$2:$A$410,MATCH(1,INDEX(('Raw Data'!$B$2:$B$410=A159)*('Raw Data'!$E$2:$E$410=D159),0),0))</f>
        <v>bricksdirect</v>
      </c>
      <c r="F159" s="7">
        <f>_xlfn.MAXIFS('Raw Data'!$E$2:$E$410,'Raw Data'!$B$2:$B$410,A159)</f>
        <v>77.37</v>
      </c>
      <c r="G159" s="5" t="str">
        <f>INDEX('Raw Data'!$A$2:$A$410,MATCH(1,INDEX(('Raw Data'!$B$2:$B$410=A159)*('Raw Data'!$E$2:$E$410=F159),0),0))</f>
        <v>bricksdirect</v>
      </c>
      <c r="H159" s="7">
        <f t="shared" si="2"/>
        <v>0</v>
      </c>
      <c r="I159" s="5">
        <f>COUNTIF('Raw Data'!$B$2:$B$410,A159)</f>
        <v>1</v>
      </c>
    </row>
    <row r="160" spans="1:9" x14ac:dyDescent="0.35">
      <c r="A160" s="5">
        <v>60500</v>
      </c>
      <c r="B160" s="6" t="str">
        <f>INDEX('Raw Data'!$D$2:$D$410,MATCH(A160,'Raw Data'!$B$2:$B$410,0))</f>
        <v>LEGO 60500 The Van</v>
      </c>
      <c r="C160" s="5" t="str">
        <f>INDEX('Raw Data'!$C$2:$C$410,MATCH(A160,'Raw Data'!$B$2:$B$410,0))</f>
        <v>Lego City</v>
      </c>
      <c r="D160" s="7">
        <f>_xlfn.MINIFS('Raw Data'!$E$2:$E$410,'Raw Data'!$B$2:$B$410,A160)</f>
        <v>25.49</v>
      </c>
      <c r="E160" s="5" t="str">
        <f>INDEX('Raw Data'!$A$2:$A$410,MATCH(1,INDEX(('Raw Data'!$B$2:$B$410=A160)*('Raw Data'!$E$2:$E$410=D160),0),0))</f>
        <v>JB Spielwaren</v>
      </c>
      <c r="F160" s="7">
        <f>_xlfn.MAXIFS('Raw Data'!$E$2:$E$410,'Raw Data'!$B$2:$B$410,A160)</f>
        <v>29.27</v>
      </c>
      <c r="G160" s="5" t="str">
        <f>INDEX('Raw Data'!$A$2:$A$410,MATCH(1,INDEX(('Raw Data'!$B$2:$B$410=A160)*('Raw Data'!$E$2:$E$410=F160),0),0))</f>
        <v>Zavvi</v>
      </c>
      <c r="H160" s="7">
        <f t="shared" si="2"/>
        <v>3.7800000000000011</v>
      </c>
      <c r="I160" s="5">
        <f>COUNTIF('Raw Data'!$B$2:$B$410,A160)</f>
        <v>3</v>
      </c>
    </row>
    <row r="161" spans="1:9" hidden="1" x14ac:dyDescent="0.35">
      <c r="A161" s="5">
        <v>60501</v>
      </c>
      <c r="B161" s="6" t="str">
        <f>INDEX('Raw Data'!$D$2:$D$410,MATCH(A161,'Raw Data'!$B$2:$B$410,0))</f>
        <v>LEGO 60501 Lava Land Roller Coaster Park</v>
      </c>
      <c r="C161" s="5" t="str">
        <f>INDEX('Raw Data'!$C$2:$C$410,MATCH(A161,'Raw Data'!$B$2:$B$410,0))</f>
        <v>Lego City</v>
      </c>
      <c r="D161" s="7">
        <f>_xlfn.MINIFS('Raw Data'!$E$2:$E$410,'Raw Data'!$B$2:$B$410,A161)</f>
        <v>121.6</v>
      </c>
      <c r="E161" s="5" t="str">
        <f>INDEX('Raw Data'!$A$2:$A$410,MATCH(1,INDEX(('Raw Data'!$B$2:$B$410=A161)*('Raw Data'!$E$2:$E$410=D161),0),0))</f>
        <v>bricksdirect</v>
      </c>
      <c r="F161" s="7">
        <f>_xlfn.MAXIFS('Raw Data'!$E$2:$E$410,'Raw Data'!$B$2:$B$410,A161)</f>
        <v>121.6</v>
      </c>
      <c r="G161" s="5" t="str">
        <f>INDEX('Raw Data'!$A$2:$A$410,MATCH(1,INDEX(('Raw Data'!$B$2:$B$410=A161)*('Raw Data'!$E$2:$E$410=F161),0),0))</f>
        <v>bricksdirect</v>
      </c>
      <c r="H161" s="7">
        <f t="shared" si="2"/>
        <v>0</v>
      </c>
      <c r="I161" s="5">
        <f>COUNTIF('Raw Data'!$B$2:$B$410,A161)</f>
        <v>1</v>
      </c>
    </row>
    <row r="162" spans="1:9" x14ac:dyDescent="0.35">
      <c r="A162" s="5">
        <v>60502</v>
      </c>
      <c r="B162" s="6" t="str">
        <f>INDEX('Raw Data'!$D$2:$D$410,MATCH(A162,'Raw Data'!$B$2:$B$410,0))</f>
        <v>LEGO City 60502 Airport with Airplane 60502</v>
      </c>
      <c r="C162" s="5" t="str">
        <f>INDEX('Raw Data'!$C$2:$C$410,MATCH(A162,'Raw Data'!$B$2:$B$410,0))</f>
        <v>Lego City</v>
      </c>
      <c r="D162" s="7">
        <f>_xlfn.MINIFS('Raw Data'!$E$2:$E$410,'Raw Data'!$B$2:$B$410,A162)</f>
        <v>79.900000000000006</v>
      </c>
      <c r="E162" s="5" t="str">
        <f>INDEX('Raw Data'!$A$2:$A$410,MATCH(1,INDEX(('Raw Data'!$B$2:$B$410=A162)*('Raw Data'!$E$2:$E$410=D162),0),0))</f>
        <v>Brickmo</v>
      </c>
      <c r="F162" s="7">
        <f>_xlfn.MAXIFS('Raw Data'!$E$2:$E$410,'Raw Data'!$B$2:$B$410,A162)</f>
        <v>110.54</v>
      </c>
      <c r="G162" s="5" t="str">
        <f>INDEX('Raw Data'!$A$2:$A$410,MATCH(1,INDEX(('Raw Data'!$B$2:$B$410=A162)*('Raw Data'!$E$2:$E$410=F162),0),0))</f>
        <v>bricksdirect</v>
      </c>
      <c r="H162" s="7">
        <f t="shared" si="2"/>
        <v>30.64</v>
      </c>
      <c r="I162" s="5">
        <f>COUNTIF('Raw Data'!$B$2:$B$410,A162)</f>
        <v>3</v>
      </c>
    </row>
    <row r="163" spans="1:9" x14ac:dyDescent="0.35">
      <c r="A163" s="5">
        <v>60503</v>
      </c>
      <c r="B163" s="6" t="str">
        <f>INDEX('Raw Data'!$D$2:$D$410,MATCH(A163,'Raw Data'!$B$2:$B$410,0))</f>
        <v>LEGO 60503 Coast Guard Helicopter</v>
      </c>
      <c r="C163" s="5" t="str">
        <f>INDEX('Raw Data'!$C$2:$C$410,MATCH(A163,'Raw Data'!$B$2:$B$410,0))</f>
        <v>Lego City</v>
      </c>
      <c r="D163" s="7">
        <f>_xlfn.MINIFS('Raw Data'!$E$2:$E$410,'Raw Data'!$B$2:$B$410,A163)</f>
        <v>41.99</v>
      </c>
      <c r="E163" s="5" t="str">
        <f>INDEX('Raw Data'!$A$2:$A$410,MATCH(1,INDEX(('Raw Data'!$B$2:$B$410=A163)*('Raw Data'!$E$2:$E$410=D163),0),0))</f>
        <v>JB Spielwaren</v>
      </c>
      <c r="F163" s="7">
        <f>_xlfn.MAXIFS('Raw Data'!$E$2:$E$410,'Raw Data'!$B$2:$B$410,A163)</f>
        <v>57.37</v>
      </c>
      <c r="G163" s="5" t="str">
        <f>INDEX('Raw Data'!$A$2:$A$410,MATCH(1,INDEX(('Raw Data'!$B$2:$B$410=A163)*('Raw Data'!$E$2:$E$410=F163),0),0))</f>
        <v>Zavvi</v>
      </c>
      <c r="H163" s="7">
        <f t="shared" si="2"/>
        <v>15.379999999999995</v>
      </c>
      <c r="I163" s="5">
        <f>COUNTIF('Raw Data'!$B$2:$B$410,A163)</f>
        <v>3</v>
      </c>
    </row>
    <row r="164" spans="1:9" x14ac:dyDescent="0.35">
      <c r="A164" s="5">
        <v>60504</v>
      </c>
      <c r="B164" s="6" t="str">
        <f>INDEX('Raw Data'!$D$2:$D$410,MATCH(A164,'Raw Data'!$B$2:$B$410,0))</f>
        <v>LEGO 60504 Coast Guard Rescue Boat &amp; Helicopter</v>
      </c>
      <c r="C164" s="5" t="str">
        <f>INDEX('Raw Data'!$C$2:$C$410,MATCH(A164,'Raw Data'!$B$2:$B$410,0))</f>
        <v>Lego City</v>
      </c>
      <c r="D164" s="7">
        <f>_xlfn.MINIFS('Raw Data'!$E$2:$E$410,'Raw Data'!$B$2:$B$410,A164)</f>
        <v>87.99</v>
      </c>
      <c r="E164" s="5" t="str">
        <f>INDEX('Raw Data'!$A$2:$A$410,MATCH(1,INDEX(('Raw Data'!$B$2:$B$410=A164)*('Raw Data'!$E$2:$E$410=D164),0),0))</f>
        <v>JB Spielwaren</v>
      </c>
      <c r="F164" s="7">
        <f>_xlfn.MAXIFS('Raw Data'!$E$2:$E$410,'Raw Data'!$B$2:$B$410,A164)</f>
        <v>103.9</v>
      </c>
      <c r="G164" s="5" t="str">
        <f>INDEX('Raw Data'!$A$2:$A$410,MATCH(1,INDEX(('Raw Data'!$B$2:$B$410=A164)*('Raw Data'!$E$2:$E$410=F164),0),0))</f>
        <v>bricksdirect</v>
      </c>
      <c r="H164" s="7">
        <f t="shared" si="2"/>
        <v>15.910000000000011</v>
      </c>
      <c r="I164" s="5">
        <f>COUNTIF('Raw Data'!$B$2:$B$410,A164)</f>
        <v>3</v>
      </c>
    </row>
    <row r="165" spans="1:9" x14ac:dyDescent="0.35">
      <c r="A165" s="5">
        <v>60505</v>
      </c>
      <c r="B165" s="6" t="str">
        <f>INDEX('Raw Data'!$D$2:$D$410,MATCH(A165,'Raw Data'!$B$2:$B$410,0))</f>
        <v>LEGO City 60505 Airplane, Service Truck &amp;...</v>
      </c>
      <c r="C165" s="5" t="str">
        <f>INDEX('Raw Data'!$C$2:$C$410,MATCH(A165,'Raw Data'!$B$2:$B$410,0))</f>
        <v>Lego City</v>
      </c>
      <c r="D165" s="7">
        <f>_xlfn.MINIFS('Raw Data'!$E$2:$E$410,'Raw Data'!$B$2:$B$410,A165)</f>
        <v>54.17</v>
      </c>
      <c r="E165" s="5" t="str">
        <f>INDEX('Raw Data'!$A$2:$A$410,MATCH(1,INDEX(('Raw Data'!$B$2:$B$410=A165)*('Raw Data'!$E$2:$E$410=D165),0),0))</f>
        <v>Brickmo</v>
      </c>
      <c r="F165" s="7">
        <f>_xlfn.MAXIFS('Raw Data'!$E$2:$E$410,'Raw Data'!$B$2:$B$410,A165)</f>
        <v>70.25</v>
      </c>
      <c r="G165" s="5" t="str">
        <f>INDEX('Raw Data'!$A$2:$A$410,MATCH(1,INDEX(('Raw Data'!$B$2:$B$410=A165)*('Raw Data'!$E$2:$E$410=F165),0),0))</f>
        <v>Zavvi</v>
      </c>
      <c r="H165" s="7">
        <f t="shared" si="2"/>
        <v>16.079999999999998</v>
      </c>
      <c r="I165" s="5">
        <f>COUNTIF('Raw Data'!$B$2:$B$410,A165)</f>
        <v>4</v>
      </c>
    </row>
    <row r="166" spans="1:9" x14ac:dyDescent="0.35">
      <c r="A166" s="5">
        <v>60506</v>
      </c>
      <c r="B166" s="6" t="str">
        <f>INDEX('Raw Data'!$D$2:$D$410,MATCH(A166,'Raw Data'!$B$2:$B$410,0))</f>
        <v>LEGO City 60506 Classic Beach Streetcar 60506</v>
      </c>
      <c r="C166" s="5" t="str">
        <f>INDEX('Raw Data'!$C$2:$C$410,MATCH(A166,'Raw Data'!$B$2:$B$410,0))</f>
        <v>Lego City</v>
      </c>
      <c r="D166" s="7">
        <f>_xlfn.MINIFS('Raw Data'!$E$2:$E$410,'Raw Data'!$B$2:$B$410,A166)</f>
        <v>54.84</v>
      </c>
      <c r="E166" s="5" t="str">
        <f>INDEX('Raw Data'!$A$2:$A$410,MATCH(1,INDEX(('Raw Data'!$B$2:$B$410=A166)*('Raw Data'!$E$2:$E$410=D166),0),0))</f>
        <v>Brickmo</v>
      </c>
      <c r="F166" s="7">
        <f>_xlfn.MAXIFS('Raw Data'!$E$2:$E$410,'Raw Data'!$B$2:$B$410,A166)</f>
        <v>66.319999999999993</v>
      </c>
      <c r="G166" s="5" t="str">
        <f>INDEX('Raw Data'!$A$2:$A$410,MATCH(1,INDEX(('Raw Data'!$B$2:$B$410=A166)*('Raw Data'!$E$2:$E$410=F166),0),0))</f>
        <v>bricksdirect</v>
      </c>
      <c r="H166" s="7">
        <f t="shared" si="2"/>
        <v>11.47999999999999</v>
      </c>
      <c r="I166" s="5">
        <f>COUNTIF('Raw Data'!$B$2:$B$410,A166)</f>
        <v>3</v>
      </c>
    </row>
    <row r="167" spans="1:9" x14ac:dyDescent="0.35">
      <c r="A167" s="5">
        <v>60508</v>
      </c>
      <c r="B167" s="6" t="str">
        <f>INDEX('Raw Data'!$D$2:$D$410,MATCH(A167,'Raw Data'!$B$2:$B$410,0))</f>
        <v>LEGO 60508 Police Train Heist</v>
      </c>
      <c r="C167" s="5" t="str">
        <f>INDEX('Raw Data'!$C$2:$C$410,MATCH(A167,'Raw Data'!$B$2:$B$410,0))</f>
        <v>Lego City</v>
      </c>
      <c r="D167" s="7">
        <f>_xlfn.MINIFS('Raw Data'!$E$2:$E$410,'Raw Data'!$B$2:$B$410,A167)</f>
        <v>169.99</v>
      </c>
      <c r="E167" s="5" t="str">
        <f>INDEX('Raw Data'!$A$2:$A$410,MATCH(1,INDEX(('Raw Data'!$B$2:$B$410=A167)*('Raw Data'!$E$2:$E$410=D167),0),0))</f>
        <v>JB Spielwaren</v>
      </c>
      <c r="F167" s="7">
        <f>_xlfn.MAXIFS('Raw Data'!$E$2:$E$410,'Raw Data'!$B$2:$B$410,A167)</f>
        <v>187.93</v>
      </c>
      <c r="G167" s="5" t="str">
        <f>INDEX('Raw Data'!$A$2:$A$410,MATCH(1,INDEX(('Raw Data'!$B$2:$B$410=A167)*('Raw Data'!$E$2:$E$410=F167),0),0))</f>
        <v>bricksdirect</v>
      </c>
      <c r="H167" s="7">
        <f t="shared" si="2"/>
        <v>17.939999999999998</v>
      </c>
      <c r="I167" s="5">
        <f>COUNTIF('Raw Data'!$B$2:$B$410,A167)</f>
        <v>2</v>
      </c>
    </row>
    <row r="168" spans="1:9" hidden="1" x14ac:dyDescent="0.35">
      <c r="A168" s="5">
        <v>60509</v>
      </c>
      <c r="B168" s="6" t="str">
        <f>INDEX('Raw Data'!$D$2:$D$410,MATCH(A168,'Raw Data'!$B$2:$B$410,0))</f>
        <v>LEGO 60509 Harbor Freight Train with Crane &amp; Truck</v>
      </c>
      <c r="C168" s="5" t="str">
        <f>INDEX('Raw Data'!$C$2:$C$410,MATCH(A168,'Raw Data'!$B$2:$B$410,0))</f>
        <v>Lego City</v>
      </c>
      <c r="D168" s="7">
        <f>_xlfn.MINIFS('Raw Data'!$E$2:$E$410,'Raw Data'!$B$2:$B$410,A168)</f>
        <v>121.6</v>
      </c>
      <c r="E168" s="5" t="str">
        <f>INDEX('Raw Data'!$A$2:$A$410,MATCH(1,INDEX(('Raw Data'!$B$2:$B$410=A168)*('Raw Data'!$E$2:$E$410=D168),0),0))</f>
        <v>bricksdirect</v>
      </c>
      <c r="F168" s="7">
        <f>_xlfn.MAXIFS('Raw Data'!$E$2:$E$410,'Raw Data'!$B$2:$B$410,A168)</f>
        <v>121.6</v>
      </c>
      <c r="G168" s="5" t="str">
        <f>INDEX('Raw Data'!$A$2:$A$410,MATCH(1,INDEX(('Raw Data'!$B$2:$B$410=A168)*('Raw Data'!$E$2:$E$410=F168),0),0))</f>
        <v>bricksdirect</v>
      </c>
      <c r="H168" s="7">
        <f t="shared" si="2"/>
        <v>0</v>
      </c>
      <c r="I168" s="5">
        <f>COUNTIF('Raw Data'!$B$2:$B$410,A168)</f>
        <v>1</v>
      </c>
    </row>
    <row r="169" spans="1:9" x14ac:dyDescent="0.35">
      <c r="A169" s="5">
        <v>60510</v>
      </c>
      <c r="B169" s="6" t="str">
        <f>INDEX('Raw Data'!$D$2:$D$410,MATCH(A169,'Raw Data'!$B$2:$B$410,0))</f>
        <v>LEGO 60510 Advent Calendar 2026, City (Pre order, will be shipped on 01/09/2026)</v>
      </c>
      <c r="C169" s="5" t="str">
        <f>INDEX('Raw Data'!$C$2:$C$410,MATCH(A169,'Raw Data'!$B$2:$B$410,0))</f>
        <v>Lego City</v>
      </c>
      <c r="D169" s="7">
        <f>_xlfn.MINIFS('Raw Data'!$E$2:$E$410,'Raw Data'!$B$2:$B$410,A169)</f>
        <v>22.94</v>
      </c>
      <c r="E169" s="5" t="str">
        <f>INDEX('Raw Data'!$A$2:$A$410,MATCH(1,INDEX(('Raw Data'!$B$2:$B$410=A169)*('Raw Data'!$E$2:$E$410=D169),0),0))</f>
        <v>JB Spielwaren</v>
      </c>
      <c r="F169" s="7">
        <f>_xlfn.MAXIFS('Raw Data'!$E$2:$E$410,'Raw Data'!$B$2:$B$410,A169)</f>
        <v>25.42</v>
      </c>
      <c r="G169" s="5" t="str">
        <f>INDEX('Raw Data'!$A$2:$A$410,MATCH(1,INDEX(('Raw Data'!$B$2:$B$410=A169)*('Raw Data'!$E$2:$E$410=F169),0),0))</f>
        <v>bricksdirect</v>
      </c>
      <c r="H169" s="7">
        <f t="shared" si="2"/>
        <v>2.4800000000000004</v>
      </c>
      <c r="I169" s="5">
        <f>COUNTIF('Raw Data'!$B$2:$B$410,A169)</f>
        <v>2</v>
      </c>
    </row>
    <row r="170" spans="1:9" x14ac:dyDescent="0.35">
      <c r="A170" s="5">
        <v>60511</v>
      </c>
      <c r="B170" s="6" t="str">
        <f>INDEX('Raw Data'!$D$2:$D$410,MATCH(A170,'Raw Data'!$B$2:$B$410,0))</f>
        <v>LEGO City 60511 Vintage Steam Train 60511</v>
      </c>
      <c r="C170" s="5" t="str">
        <f>INDEX('Raw Data'!$C$2:$C$410,MATCH(A170,'Raw Data'!$B$2:$B$410,0))</f>
        <v>Lego City</v>
      </c>
      <c r="D170" s="7">
        <f>_xlfn.MINIFS('Raw Data'!$E$2:$E$410,'Raw Data'!$B$2:$B$410,A170)</f>
        <v>70.67</v>
      </c>
      <c r="E170" s="5" t="str">
        <f>INDEX('Raw Data'!$A$2:$A$410,MATCH(1,INDEX(('Raw Data'!$B$2:$B$410=A170)*('Raw Data'!$E$2:$E$410=D170),0),0))</f>
        <v>Brickmo</v>
      </c>
      <c r="F170" s="7">
        <f>_xlfn.MAXIFS('Raw Data'!$E$2:$E$410,'Raw Data'!$B$2:$B$410,A170)</f>
        <v>85.11</v>
      </c>
      <c r="G170" s="5" t="str">
        <f>INDEX('Raw Data'!$A$2:$A$410,MATCH(1,INDEX(('Raw Data'!$B$2:$B$410=A170)*('Raw Data'!$E$2:$E$410=F170),0),0))</f>
        <v>bricksdirect</v>
      </c>
      <c r="H170" s="7">
        <f t="shared" si="2"/>
        <v>14.439999999999998</v>
      </c>
      <c r="I170" s="5">
        <f>COUNTIF('Raw Data'!$B$2:$B$410,A170)</f>
        <v>3</v>
      </c>
    </row>
    <row r="171" spans="1:9" hidden="1" x14ac:dyDescent="0.35">
      <c r="A171" s="5">
        <v>60512</v>
      </c>
      <c r="B171" s="6" t="str">
        <f>INDEX('Raw Data'!$D$2:$D$410,MATCH(A171,'Raw Data'!$B$2:$B$410,0))</f>
        <v>LEGO 60512 Mountain Bike Adventure Van</v>
      </c>
      <c r="C171" s="5" t="str">
        <f>INDEX('Raw Data'!$C$2:$C$410,MATCH(A171,'Raw Data'!$B$2:$B$410,0))</f>
        <v>Lego City</v>
      </c>
      <c r="D171" s="7">
        <f>_xlfn.MINIFS('Raw Data'!$E$2:$E$410,'Raw Data'!$B$2:$B$410,A171)</f>
        <v>33.15</v>
      </c>
      <c r="E171" s="5" t="str">
        <f>INDEX('Raw Data'!$A$2:$A$410,MATCH(1,INDEX(('Raw Data'!$B$2:$B$410=A171)*('Raw Data'!$E$2:$E$410=D171),0),0))</f>
        <v>bricksdirect</v>
      </c>
      <c r="F171" s="7">
        <f>_xlfn.MAXIFS('Raw Data'!$E$2:$E$410,'Raw Data'!$B$2:$B$410,A171)</f>
        <v>33.15</v>
      </c>
      <c r="G171" s="5" t="str">
        <f>INDEX('Raw Data'!$A$2:$A$410,MATCH(1,INDEX(('Raw Data'!$B$2:$B$410=A171)*('Raw Data'!$E$2:$E$410=F171),0),0))</f>
        <v>bricksdirect</v>
      </c>
      <c r="H171" s="7">
        <f t="shared" si="2"/>
        <v>0</v>
      </c>
      <c r="I171" s="5">
        <f>COUNTIF('Raw Data'!$B$2:$B$410,A171)</f>
        <v>1</v>
      </c>
    </row>
    <row r="172" spans="1:9" hidden="1" x14ac:dyDescent="0.35">
      <c r="A172" s="5">
        <v>75192</v>
      </c>
      <c r="B172" s="6" t="str">
        <f>INDEX('Raw Data'!$D$2:$D$410,MATCH(A172,'Raw Data'!$B$2:$B$410,0))</f>
        <v>LEGO Star Wars 75192 Millennium Falcon 75192</v>
      </c>
      <c r="C172" s="5" t="str">
        <f>INDEX('Raw Data'!$C$2:$C$410,MATCH(A172,'Raw Data'!$B$2:$B$410,0))</f>
        <v>Lego Star Wars</v>
      </c>
      <c r="D172" s="7">
        <f>_xlfn.MINIFS('Raw Data'!$E$2:$E$410,'Raw Data'!$B$2:$B$410,A172)</f>
        <v>777.98</v>
      </c>
      <c r="E172" s="5" t="str">
        <f>INDEX('Raw Data'!$A$2:$A$410,MATCH(1,INDEX(('Raw Data'!$B$2:$B$410=A172)*('Raw Data'!$E$2:$E$410=D172),0),0))</f>
        <v>Brickmo</v>
      </c>
      <c r="F172" s="7">
        <f>_xlfn.MAXIFS('Raw Data'!$E$2:$E$410,'Raw Data'!$B$2:$B$410,A172)</f>
        <v>777.98</v>
      </c>
      <c r="G172" s="5" t="str">
        <f>INDEX('Raw Data'!$A$2:$A$410,MATCH(1,INDEX(('Raw Data'!$B$2:$B$410=A172)*('Raw Data'!$E$2:$E$410=F172),0),0))</f>
        <v>Brickmo</v>
      </c>
      <c r="H172" s="7">
        <f t="shared" si="2"/>
        <v>0</v>
      </c>
      <c r="I172" s="5">
        <f>COUNTIF('Raw Data'!$B$2:$B$410,A172)</f>
        <v>1</v>
      </c>
    </row>
    <row r="173" spans="1:9" hidden="1" x14ac:dyDescent="0.35">
      <c r="A173" s="5">
        <v>75325</v>
      </c>
      <c r="B173" s="6" t="str">
        <f>INDEX('Raw Data'!$D$2:$D$410,MATCH(A173,'Raw Data'!$B$2:$B$410,0))</f>
        <v>LEGO Star Wars 75325 The Mandalorian´s N-1...</v>
      </c>
      <c r="C173" s="5" t="str">
        <f>INDEX('Raw Data'!$C$2:$C$410,MATCH(A173,'Raw Data'!$B$2:$B$410,0))</f>
        <v>Lego Star Wars</v>
      </c>
      <c r="D173" s="7">
        <f>_xlfn.MINIFS('Raw Data'!$E$2:$E$410,'Raw Data'!$B$2:$B$410,A173)</f>
        <v>60.48</v>
      </c>
      <c r="E173" s="5" t="str">
        <f>INDEX('Raw Data'!$A$2:$A$410,MATCH(1,INDEX(('Raw Data'!$B$2:$B$410=A173)*('Raw Data'!$E$2:$E$410=D173),0),0))</f>
        <v>Brickmo</v>
      </c>
      <c r="F173" s="7">
        <f>_xlfn.MAXIFS('Raw Data'!$E$2:$E$410,'Raw Data'!$B$2:$B$410,A173)</f>
        <v>60.48</v>
      </c>
      <c r="G173" s="5" t="str">
        <f>INDEX('Raw Data'!$A$2:$A$410,MATCH(1,INDEX(('Raw Data'!$B$2:$B$410=A173)*('Raw Data'!$E$2:$E$410=F173),0),0))</f>
        <v>Brickmo</v>
      </c>
      <c r="H173" s="7">
        <f t="shared" si="2"/>
        <v>0</v>
      </c>
      <c r="I173" s="5">
        <f>COUNTIF('Raw Data'!$B$2:$B$410,A173)</f>
        <v>1</v>
      </c>
    </row>
    <row r="174" spans="1:9" hidden="1" x14ac:dyDescent="0.35">
      <c r="A174" s="5">
        <v>75331</v>
      </c>
      <c r="B174" s="6" t="str">
        <f>INDEX('Raw Data'!$D$2:$D$410,MATCH(A174,'Raw Data'!$B$2:$B$410,0))</f>
        <v>LEGO Star Wars 75331 The Razor Crest 75331</v>
      </c>
      <c r="C174" s="5" t="str">
        <f>INDEX('Raw Data'!$C$2:$C$410,MATCH(A174,'Raw Data'!$B$2:$B$410,0))</f>
        <v>Lego Star Wars</v>
      </c>
      <c r="D174" s="7">
        <f>_xlfn.MINIFS('Raw Data'!$E$2:$E$410,'Raw Data'!$B$2:$B$410,A174)</f>
        <v>665.22</v>
      </c>
      <c r="E174" s="5" t="str">
        <f>INDEX('Raw Data'!$A$2:$A$410,MATCH(1,INDEX(('Raw Data'!$B$2:$B$410=A174)*('Raw Data'!$E$2:$E$410=D174),0),0))</f>
        <v>Brickmo</v>
      </c>
      <c r="F174" s="7">
        <f>_xlfn.MAXIFS('Raw Data'!$E$2:$E$410,'Raw Data'!$B$2:$B$410,A174)</f>
        <v>665.22</v>
      </c>
      <c r="G174" s="5" t="str">
        <f>INDEX('Raw Data'!$A$2:$A$410,MATCH(1,INDEX(('Raw Data'!$B$2:$B$410=A174)*('Raw Data'!$E$2:$E$410=F174),0),0))</f>
        <v>Brickmo</v>
      </c>
      <c r="H174" s="7">
        <f t="shared" si="2"/>
        <v>0</v>
      </c>
      <c r="I174" s="5">
        <f>COUNTIF('Raw Data'!$B$2:$B$410,A174)</f>
        <v>1</v>
      </c>
    </row>
    <row r="175" spans="1:9" hidden="1" x14ac:dyDescent="0.35">
      <c r="A175" s="5">
        <v>75333</v>
      </c>
      <c r="B175" s="6" t="str">
        <f>INDEX('Raw Data'!$D$2:$D$410,MATCH(A175,'Raw Data'!$B$2:$B$410,0))</f>
        <v>LEGO Star Wars 75333 Obi-Wan Kenobi’s Jedi...</v>
      </c>
      <c r="C175" s="5" t="str">
        <f>INDEX('Raw Data'!$C$2:$C$410,MATCH(A175,'Raw Data'!$B$2:$B$410,0))</f>
        <v>Lego Star Wars</v>
      </c>
      <c r="D175" s="7">
        <f>_xlfn.MINIFS('Raw Data'!$E$2:$E$410,'Raw Data'!$B$2:$B$410,A175)</f>
        <v>35.82</v>
      </c>
      <c r="E175" s="5" t="str">
        <f>INDEX('Raw Data'!$A$2:$A$410,MATCH(1,INDEX(('Raw Data'!$B$2:$B$410=A175)*('Raw Data'!$E$2:$E$410=D175),0),0))</f>
        <v>Brickmo</v>
      </c>
      <c r="F175" s="7">
        <f>_xlfn.MAXIFS('Raw Data'!$E$2:$E$410,'Raw Data'!$B$2:$B$410,A175)</f>
        <v>35.82</v>
      </c>
      <c r="G175" s="5" t="str">
        <f>INDEX('Raw Data'!$A$2:$A$410,MATCH(1,INDEX(('Raw Data'!$B$2:$B$410=A175)*('Raw Data'!$E$2:$E$410=F175),0),0))</f>
        <v>Brickmo</v>
      </c>
      <c r="H175" s="7">
        <f t="shared" si="2"/>
        <v>0</v>
      </c>
      <c r="I175" s="5">
        <f>COUNTIF('Raw Data'!$B$2:$B$410,A175)</f>
        <v>1</v>
      </c>
    </row>
    <row r="176" spans="1:9" hidden="1" x14ac:dyDescent="0.35">
      <c r="A176" s="5">
        <v>75345</v>
      </c>
      <c r="B176" s="6" t="str">
        <f>INDEX('Raw Data'!$D$2:$D$410,MATCH(A176,'Raw Data'!$B$2:$B$410,0))</f>
        <v>LEGO Star Wars 75345 501st Clone Troopers...</v>
      </c>
      <c r="C176" s="5" t="str">
        <f>INDEX('Raw Data'!$C$2:$C$410,MATCH(A176,'Raw Data'!$B$2:$B$410,0))</f>
        <v>Lego Star Wars</v>
      </c>
      <c r="D176" s="7">
        <f>_xlfn.MINIFS('Raw Data'!$E$2:$E$410,'Raw Data'!$B$2:$B$410,A176)</f>
        <v>20.45</v>
      </c>
      <c r="E176" s="5" t="str">
        <f>INDEX('Raw Data'!$A$2:$A$410,MATCH(1,INDEX(('Raw Data'!$B$2:$B$410=A176)*('Raw Data'!$E$2:$E$410=D176),0),0))</f>
        <v>Brickmo</v>
      </c>
      <c r="F176" s="7">
        <f>_xlfn.MAXIFS('Raw Data'!$E$2:$E$410,'Raw Data'!$B$2:$B$410,A176)</f>
        <v>20.45</v>
      </c>
      <c r="G176" s="5" t="str">
        <f>INDEX('Raw Data'!$A$2:$A$410,MATCH(1,INDEX(('Raw Data'!$B$2:$B$410=A176)*('Raw Data'!$E$2:$E$410=F176),0),0))</f>
        <v>Brickmo</v>
      </c>
      <c r="H176" s="7">
        <f t="shared" si="2"/>
        <v>0</v>
      </c>
      <c r="I176" s="5">
        <f>COUNTIF('Raw Data'!$B$2:$B$410,A176)</f>
        <v>1</v>
      </c>
    </row>
    <row r="177" spans="1:9" hidden="1" x14ac:dyDescent="0.35">
      <c r="A177" s="5">
        <v>75347</v>
      </c>
      <c r="B177" s="6" t="str">
        <f>INDEX('Raw Data'!$D$2:$D$410,MATCH(A177,'Raw Data'!$B$2:$B$410,0))</f>
        <v>LEGO Star Wars 75347 TIE Bomber 75347</v>
      </c>
      <c r="C177" s="5" t="str">
        <f>INDEX('Raw Data'!$C$2:$C$410,MATCH(A177,'Raw Data'!$B$2:$B$410,0))</f>
        <v>Lego Star Wars</v>
      </c>
      <c r="D177" s="7">
        <f>_xlfn.MINIFS('Raw Data'!$E$2:$E$410,'Raw Data'!$B$2:$B$410,A177)</f>
        <v>54.31</v>
      </c>
      <c r="E177" s="5" t="str">
        <f>INDEX('Raw Data'!$A$2:$A$410,MATCH(1,INDEX(('Raw Data'!$B$2:$B$410=A177)*('Raw Data'!$E$2:$E$410=D177),0),0))</f>
        <v>Brickmo</v>
      </c>
      <c r="F177" s="7">
        <f>_xlfn.MAXIFS('Raw Data'!$E$2:$E$410,'Raw Data'!$B$2:$B$410,A177)</f>
        <v>54.31</v>
      </c>
      <c r="G177" s="5" t="str">
        <f>INDEX('Raw Data'!$A$2:$A$410,MATCH(1,INDEX(('Raw Data'!$B$2:$B$410=A177)*('Raw Data'!$E$2:$E$410=F177),0),0))</f>
        <v>Brickmo</v>
      </c>
      <c r="H177" s="7">
        <f t="shared" si="2"/>
        <v>0</v>
      </c>
      <c r="I177" s="5">
        <f>COUNTIF('Raw Data'!$B$2:$B$410,A177)</f>
        <v>1</v>
      </c>
    </row>
    <row r="178" spans="1:9" hidden="1" x14ac:dyDescent="0.35">
      <c r="A178" s="5">
        <v>75349</v>
      </c>
      <c r="B178" s="6" t="str">
        <f>INDEX('Raw Data'!$D$2:$D$410,MATCH(A178,'Raw Data'!$B$2:$B$410,0))</f>
        <v>LEGO Star Wars 75349 Captain Rex Helmet 75349</v>
      </c>
      <c r="C178" s="5" t="str">
        <f>INDEX('Raw Data'!$C$2:$C$410,MATCH(A178,'Raw Data'!$B$2:$B$410,0))</f>
        <v>Lego Star Wars</v>
      </c>
      <c r="D178" s="7">
        <f>_xlfn.MINIFS('Raw Data'!$E$2:$E$410,'Raw Data'!$B$2:$B$410,A178)</f>
        <v>71.7</v>
      </c>
      <c r="E178" s="5" t="str">
        <f>INDEX('Raw Data'!$A$2:$A$410,MATCH(1,INDEX(('Raw Data'!$B$2:$B$410=A178)*('Raw Data'!$E$2:$E$410=D178),0),0))</f>
        <v>Brickmo</v>
      </c>
      <c r="F178" s="7">
        <f>_xlfn.MAXIFS('Raw Data'!$E$2:$E$410,'Raw Data'!$B$2:$B$410,A178)</f>
        <v>71.7</v>
      </c>
      <c r="G178" s="5" t="str">
        <f>INDEX('Raw Data'!$A$2:$A$410,MATCH(1,INDEX(('Raw Data'!$B$2:$B$410=A178)*('Raw Data'!$E$2:$E$410=F178),0),0))</f>
        <v>Brickmo</v>
      </c>
      <c r="H178" s="7">
        <f t="shared" si="2"/>
        <v>0</v>
      </c>
      <c r="I178" s="5">
        <f>COUNTIF('Raw Data'!$B$2:$B$410,A178)</f>
        <v>1</v>
      </c>
    </row>
    <row r="179" spans="1:9" hidden="1" x14ac:dyDescent="0.35">
      <c r="A179" s="5">
        <v>75373</v>
      </c>
      <c r="B179" s="6" t="str">
        <f>INDEX('Raw Data'!$D$2:$D$410,MATCH(A179,'Raw Data'!$B$2:$B$410,0))</f>
        <v>LEGO Star Wars 75373 Ambush on Mandalore Battle...</v>
      </c>
      <c r="C179" s="5" t="str">
        <f>INDEX('Raw Data'!$C$2:$C$410,MATCH(A179,'Raw Data'!$B$2:$B$410,0))</f>
        <v>Lego Star Wars</v>
      </c>
      <c r="D179" s="7">
        <f>_xlfn.MINIFS('Raw Data'!$E$2:$E$410,'Raw Data'!$B$2:$B$410,A179)</f>
        <v>20.45</v>
      </c>
      <c r="E179" s="5" t="str">
        <f>INDEX('Raw Data'!$A$2:$A$410,MATCH(1,INDEX(('Raw Data'!$B$2:$B$410=A179)*('Raw Data'!$E$2:$E$410=D179),0),0))</f>
        <v>Brickmo</v>
      </c>
      <c r="F179" s="7">
        <f>_xlfn.MAXIFS('Raw Data'!$E$2:$E$410,'Raw Data'!$B$2:$B$410,A179)</f>
        <v>20.45</v>
      </c>
      <c r="G179" s="5" t="str">
        <f>INDEX('Raw Data'!$A$2:$A$410,MATCH(1,INDEX(('Raw Data'!$B$2:$B$410=A179)*('Raw Data'!$E$2:$E$410=F179),0),0))</f>
        <v>Brickmo</v>
      </c>
      <c r="H179" s="7">
        <f t="shared" si="2"/>
        <v>0</v>
      </c>
      <c r="I179" s="5">
        <f>COUNTIF('Raw Data'!$B$2:$B$410,A179)</f>
        <v>1</v>
      </c>
    </row>
    <row r="180" spans="1:9" hidden="1" x14ac:dyDescent="0.35">
      <c r="A180" s="5">
        <v>75383</v>
      </c>
      <c r="B180" s="6" t="str">
        <f>INDEX('Raw Data'!$D$2:$D$410,MATCH(A180,'Raw Data'!$B$2:$B$410,0))</f>
        <v>LEGO Star Wars 75383 Darth Maul's Sith...</v>
      </c>
      <c r="C180" s="5" t="str">
        <f>INDEX('Raw Data'!$C$2:$C$410,MATCH(A180,'Raw Data'!$B$2:$B$410,0))</f>
        <v>Lego Star Wars</v>
      </c>
      <c r="D180" s="7">
        <f>_xlfn.MINIFS('Raw Data'!$E$2:$E$410,'Raw Data'!$B$2:$B$410,A180)</f>
        <v>71.7</v>
      </c>
      <c r="E180" s="5" t="str">
        <f>INDEX('Raw Data'!$A$2:$A$410,MATCH(1,INDEX(('Raw Data'!$B$2:$B$410=A180)*('Raw Data'!$E$2:$E$410=D180),0),0))</f>
        <v>Brickmo</v>
      </c>
      <c r="F180" s="7">
        <f>_xlfn.MAXIFS('Raw Data'!$E$2:$E$410,'Raw Data'!$B$2:$B$410,A180)</f>
        <v>71.7</v>
      </c>
      <c r="G180" s="5" t="str">
        <f>INDEX('Raw Data'!$A$2:$A$410,MATCH(1,INDEX(('Raw Data'!$B$2:$B$410=A180)*('Raw Data'!$E$2:$E$410=F180),0),0))</f>
        <v>Brickmo</v>
      </c>
      <c r="H180" s="7">
        <f t="shared" si="2"/>
        <v>0</v>
      </c>
      <c r="I180" s="5">
        <f>COUNTIF('Raw Data'!$B$2:$B$410,A180)</f>
        <v>1</v>
      </c>
    </row>
    <row r="181" spans="1:9" hidden="1" x14ac:dyDescent="0.35">
      <c r="A181" s="5">
        <v>75397</v>
      </c>
      <c r="B181" s="6" t="str">
        <f>INDEX('Raw Data'!$D$2:$D$410,MATCH(A181,'Raw Data'!$B$2:$B$410,0))</f>
        <v>LEGO Star Wars 75397 Jabba's Sail Barge 75397</v>
      </c>
      <c r="C181" s="5" t="str">
        <f>INDEX('Raw Data'!$C$2:$C$410,MATCH(A181,'Raw Data'!$B$2:$B$410,0))</f>
        <v>Lego Star Wars</v>
      </c>
      <c r="D181" s="7">
        <f>_xlfn.MINIFS('Raw Data'!$E$2:$E$410,'Raw Data'!$B$2:$B$410,A181)</f>
        <v>445.82</v>
      </c>
      <c r="E181" s="5" t="str">
        <f>INDEX('Raw Data'!$A$2:$A$410,MATCH(1,INDEX(('Raw Data'!$B$2:$B$410=A181)*('Raw Data'!$E$2:$E$410=D181),0),0))</f>
        <v>Brickmo</v>
      </c>
      <c r="F181" s="7">
        <f>_xlfn.MAXIFS('Raw Data'!$E$2:$E$410,'Raw Data'!$B$2:$B$410,A181)</f>
        <v>445.82</v>
      </c>
      <c r="G181" s="5" t="str">
        <f>INDEX('Raw Data'!$A$2:$A$410,MATCH(1,INDEX(('Raw Data'!$B$2:$B$410=A181)*('Raw Data'!$E$2:$E$410=F181),0),0))</f>
        <v>Brickmo</v>
      </c>
      <c r="H181" s="7">
        <f t="shared" si="2"/>
        <v>0</v>
      </c>
      <c r="I181" s="5">
        <f>COUNTIF('Raw Data'!$B$2:$B$410,A181)</f>
        <v>1</v>
      </c>
    </row>
    <row r="182" spans="1:9" hidden="1" x14ac:dyDescent="0.35">
      <c r="A182" s="5">
        <v>75400</v>
      </c>
      <c r="B182" s="6" t="str">
        <f>INDEX('Raw Data'!$D$2:$D$410,MATCH(A182,'Raw Data'!$B$2:$B$410,0))</f>
        <v>LEGO Star Wars 75400 Plo Koon's Jedi...</v>
      </c>
      <c r="C182" s="5" t="str">
        <f>INDEX('Raw Data'!$C$2:$C$410,MATCH(A182,'Raw Data'!$B$2:$B$410,0))</f>
        <v>Lego Star Wars</v>
      </c>
      <c r="D182" s="7">
        <f>_xlfn.MINIFS('Raw Data'!$E$2:$E$410,'Raw Data'!$B$2:$B$410,A182)</f>
        <v>11.78</v>
      </c>
      <c r="E182" s="5" t="str">
        <f>INDEX('Raw Data'!$A$2:$A$410,MATCH(1,INDEX(('Raw Data'!$B$2:$B$410=A182)*('Raw Data'!$E$2:$E$410=D182),0),0))</f>
        <v>Brickmo</v>
      </c>
      <c r="F182" s="7">
        <f>_xlfn.MAXIFS('Raw Data'!$E$2:$E$410,'Raw Data'!$B$2:$B$410,A182)</f>
        <v>11.78</v>
      </c>
      <c r="G182" s="5" t="str">
        <f>INDEX('Raw Data'!$A$2:$A$410,MATCH(1,INDEX(('Raw Data'!$B$2:$B$410=A182)*('Raw Data'!$E$2:$E$410=F182),0),0))</f>
        <v>Brickmo</v>
      </c>
      <c r="H182" s="7">
        <f t="shared" si="2"/>
        <v>0</v>
      </c>
      <c r="I182" s="5">
        <f>COUNTIF('Raw Data'!$B$2:$B$410,A182)</f>
        <v>1</v>
      </c>
    </row>
    <row r="183" spans="1:9" hidden="1" x14ac:dyDescent="0.35">
      <c r="A183" s="5">
        <v>75401</v>
      </c>
      <c r="B183" s="6" t="str">
        <f>INDEX('Raw Data'!$D$2:$D$410,MATCH(A183,'Raw Data'!$B$2:$B$410,0))</f>
        <v>LEGO Star Wars 75401 Ahsoka's Jedi Interceptor...</v>
      </c>
      <c r="C183" s="5" t="str">
        <f>INDEX('Raw Data'!$C$2:$C$410,MATCH(A183,'Raw Data'!$B$2:$B$410,0))</f>
        <v>Lego Star Wars</v>
      </c>
      <c r="D183" s="7">
        <f>_xlfn.MINIFS('Raw Data'!$E$2:$E$410,'Raw Data'!$B$2:$B$410,A183)</f>
        <v>36.85</v>
      </c>
      <c r="E183" s="5" t="str">
        <f>INDEX('Raw Data'!$A$2:$A$410,MATCH(1,INDEX(('Raw Data'!$B$2:$B$410=A183)*('Raw Data'!$E$2:$E$410=D183),0),0))</f>
        <v>Brickmo</v>
      </c>
      <c r="F183" s="7">
        <f>_xlfn.MAXIFS('Raw Data'!$E$2:$E$410,'Raw Data'!$B$2:$B$410,A183)</f>
        <v>36.85</v>
      </c>
      <c r="G183" s="5" t="str">
        <f>INDEX('Raw Data'!$A$2:$A$410,MATCH(1,INDEX(('Raw Data'!$B$2:$B$410=A183)*('Raw Data'!$E$2:$E$410=F183),0),0))</f>
        <v>Brickmo</v>
      </c>
      <c r="H183" s="7">
        <f t="shared" si="2"/>
        <v>0</v>
      </c>
      <c r="I183" s="5">
        <f>COUNTIF('Raw Data'!$B$2:$B$410,A183)</f>
        <v>1</v>
      </c>
    </row>
    <row r="184" spans="1:9" hidden="1" x14ac:dyDescent="0.35">
      <c r="A184" s="5">
        <v>75403</v>
      </c>
      <c r="B184" s="6" t="str">
        <f>INDEX('Raw Data'!$D$2:$D$410,MATCH(A184,'Raw Data'!$B$2:$B$410,0))</f>
        <v>LEGO Star Wars 75403 Grogu with Hover Pram 75403</v>
      </c>
      <c r="C184" s="5" t="str">
        <f>INDEX('Raw Data'!$C$2:$C$410,MATCH(A184,'Raw Data'!$B$2:$B$410,0))</f>
        <v>Lego Star Wars</v>
      </c>
      <c r="D184" s="7">
        <f>_xlfn.MINIFS('Raw Data'!$E$2:$E$410,'Raw Data'!$B$2:$B$410,A184)</f>
        <v>81.95</v>
      </c>
      <c r="E184" s="5" t="str">
        <f>INDEX('Raw Data'!$A$2:$A$410,MATCH(1,INDEX(('Raw Data'!$B$2:$B$410=A184)*('Raw Data'!$E$2:$E$410=D184),0),0))</f>
        <v>Brickmo</v>
      </c>
      <c r="F184" s="7">
        <f>_xlfn.MAXIFS('Raw Data'!$E$2:$E$410,'Raw Data'!$B$2:$B$410,A184)</f>
        <v>81.95</v>
      </c>
      <c r="G184" s="5" t="str">
        <f>INDEX('Raw Data'!$A$2:$A$410,MATCH(1,INDEX(('Raw Data'!$B$2:$B$410=A184)*('Raw Data'!$E$2:$E$410=F184),0),0))</f>
        <v>Brickmo</v>
      </c>
      <c r="H184" s="7">
        <f t="shared" si="2"/>
        <v>0</v>
      </c>
      <c r="I184" s="5">
        <f>COUNTIF('Raw Data'!$B$2:$B$410,A184)</f>
        <v>1</v>
      </c>
    </row>
    <row r="185" spans="1:9" x14ac:dyDescent="0.35">
      <c r="A185" s="5">
        <v>75404</v>
      </c>
      <c r="B185" s="6" t="str">
        <f>INDEX('Raw Data'!$D$2:$D$410,MATCH(A185,'Raw Data'!$B$2:$B$410,0))</f>
        <v>LEGO Star Wars 75404 Acclamator-Class Assault...</v>
      </c>
      <c r="C185" s="5" t="str">
        <f>INDEX('Raw Data'!$C$2:$C$410,MATCH(A185,'Raw Data'!$B$2:$B$410,0))</f>
        <v>Lego Star Wars</v>
      </c>
      <c r="D185" s="7">
        <f>_xlfn.MINIFS('Raw Data'!$E$2:$E$410,'Raw Data'!$B$2:$B$410,A185)</f>
        <v>40.950000000000003</v>
      </c>
      <c r="E185" s="5" t="str">
        <f>INDEX('Raw Data'!$A$2:$A$410,MATCH(1,INDEX(('Raw Data'!$B$2:$B$410=A185)*('Raw Data'!$E$2:$E$410=D185),0),0))</f>
        <v>Brickmo</v>
      </c>
      <c r="F185" s="7">
        <f>_xlfn.MAXIFS('Raw Data'!$E$2:$E$410,'Raw Data'!$B$2:$B$410,A185)</f>
        <v>55.26</v>
      </c>
      <c r="G185" s="5" t="str">
        <f>INDEX('Raw Data'!$A$2:$A$410,MATCH(1,INDEX(('Raw Data'!$B$2:$B$410=A185)*('Raw Data'!$E$2:$E$410=F185),0),0))</f>
        <v>bricksdirect</v>
      </c>
      <c r="H185" s="7">
        <f t="shared" si="2"/>
        <v>14.309999999999995</v>
      </c>
      <c r="I185" s="5">
        <f>COUNTIF('Raw Data'!$B$2:$B$410,A185)</f>
        <v>2</v>
      </c>
    </row>
    <row r="186" spans="1:9" hidden="1" x14ac:dyDescent="0.35">
      <c r="A186" s="5">
        <v>75405</v>
      </c>
      <c r="B186" s="6" t="str">
        <f>INDEX('Raw Data'!$D$2:$D$410,MATCH(A186,'Raw Data'!$B$2:$B$410,0))</f>
        <v>LEGO 75405 Home One Starcruiser</v>
      </c>
      <c r="C186" s="5" t="str">
        <f>INDEX('Raw Data'!$C$2:$C$410,MATCH(A186,'Raw Data'!$B$2:$B$410,0))</f>
        <v>Lego Star Wars</v>
      </c>
      <c r="D186" s="7">
        <f>_xlfn.MINIFS('Raw Data'!$E$2:$E$410,'Raw Data'!$B$2:$B$410,A186)</f>
        <v>77.37</v>
      </c>
      <c r="E186" s="5" t="str">
        <f>INDEX('Raw Data'!$A$2:$A$410,MATCH(1,INDEX(('Raw Data'!$B$2:$B$410=A186)*('Raw Data'!$E$2:$E$410=D186),0),0))</f>
        <v>bricksdirect</v>
      </c>
      <c r="F186" s="7">
        <f>_xlfn.MAXIFS('Raw Data'!$E$2:$E$410,'Raw Data'!$B$2:$B$410,A186)</f>
        <v>77.37</v>
      </c>
      <c r="G186" s="5" t="str">
        <f>INDEX('Raw Data'!$A$2:$A$410,MATCH(1,INDEX(('Raw Data'!$B$2:$B$410=A186)*('Raw Data'!$E$2:$E$410=F186),0),0))</f>
        <v>bricksdirect</v>
      </c>
      <c r="H186" s="7">
        <f t="shared" si="2"/>
        <v>0</v>
      </c>
      <c r="I186" s="5">
        <f>COUNTIF('Raw Data'!$B$2:$B$410,A186)</f>
        <v>1</v>
      </c>
    </row>
    <row r="187" spans="1:9" hidden="1" x14ac:dyDescent="0.35">
      <c r="A187" s="5">
        <v>75406</v>
      </c>
      <c r="B187" s="6" t="str">
        <f>INDEX('Raw Data'!$D$2:$D$410,MATCH(A187,'Raw Data'!$B$2:$B$410,0))</f>
        <v>LEGO 75406 Kylo Ren’s Command Shuttle</v>
      </c>
      <c r="C187" s="5" t="str">
        <f>INDEX('Raw Data'!$C$2:$C$410,MATCH(A187,'Raw Data'!$B$2:$B$410,0))</f>
        <v>Lego Star Wars</v>
      </c>
      <c r="D187" s="7">
        <f>_xlfn.MINIFS('Raw Data'!$E$2:$E$410,'Raw Data'!$B$2:$B$410,A187)</f>
        <v>88.43</v>
      </c>
      <c r="E187" s="5" t="str">
        <f>INDEX('Raw Data'!$A$2:$A$410,MATCH(1,INDEX(('Raw Data'!$B$2:$B$410=A187)*('Raw Data'!$E$2:$E$410=D187),0),0))</f>
        <v>bricksdirect</v>
      </c>
      <c r="F187" s="7">
        <f>_xlfn.MAXIFS('Raw Data'!$E$2:$E$410,'Raw Data'!$B$2:$B$410,A187)</f>
        <v>88.43</v>
      </c>
      <c r="G187" s="5" t="str">
        <f>INDEX('Raw Data'!$A$2:$A$410,MATCH(1,INDEX(('Raw Data'!$B$2:$B$410=A187)*('Raw Data'!$E$2:$E$410=F187),0),0))</f>
        <v>bricksdirect</v>
      </c>
      <c r="H187" s="7">
        <f t="shared" si="2"/>
        <v>0</v>
      </c>
      <c r="I187" s="5">
        <f>COUNTIF('Raw Data'!$B$2:$B$410,A187)</f>
        <v>1</v>
      </c>
    </row>
    <row r="188" spans="1:9" hidden="1" x14ac:dyDescent="0.35">
      <c r="A188" s="5">
        <v>75407</v>
      </c>
      <c r="B188" s="6" t="str">
        <f>INDEX('Raw Data'!$D$2:$D$410,MATCH(A188,'Raw Data'!$B$2:$B$410,0))</f>
        <v>LEGO 75407 Brick-Built Star Wars Logo</v>
      </c>
      <c r="C188" s="5" t="str">
        <f>INDEX('Raw Data'!$C$2:$C$410,MATCH(A188,'Raw Data'!$B$2:$B$410,0))</f>
        <v>Lego Star Wars</v>
      </c>
      <c r="D188" s="7">
        <f>_xlfn.MINIFS('Raw Data'!$E$2:$E$410,'Raw Data'!$B$2:$B$410,A188)</f>
        <v>61.9</v>
      </c>
      <c r="E188" s="5" t="str">
        <f>INDEX('Raw Data'!$A$2:$A$410,MATCH(1,INDEX(('Raw Data'!$B$2:$B$410=A188)*('Raw Data'!$E$2:$E$410=D188),0),0))</f>
        <v>bricksdirect</v>
      </c>
      <c r="F188" s="7">
        <f>_xlfn.MAXIFS('Raw Data'!$E$2:$E$410,'Raw Data'!$B$2:$B$410,A188)</f>
        <v>61.9</v>
      </c>
      <c r="G188" s="5" t="str">
        <f>INDEX('Raw Data'!$A$2:$A$410,MATCH(1,INDEX(('Raw Data'!$B$2:$B$410=A188)*('Raw Data'!$E$2:$E$410=F188),0),0))</f>
        <v>bricksdirect</v>
      </c>
      <c r="H188" s="7">
        <f t="shared" si="2"/>
        <v>0</v>
      </c>
      <c r="I188" s="5">
        <f>COUNTIF('Raw Data'!$B$2:$B$410,A188)</f>
        <v>1</v>
      </c>
    </row>
    <row r="189" spans="1:9" hidden="1" x14ac:dyDescent="0.35">
      <c r="A189" s="5">
        <v>75408</v>
      </c>
      <c r="B189" s="6" t="str">
        <f>INDEX('Raw Data'!$D$2:$D$410,MATCH(A189,'Raw Data'!$B$2:$B$410,0))</f>
        <v>LEGO 75408 Jango Fett Helmet</v>
      </c>
      <c r="C189" s="5" t="str">
        <f>INDEX('Raw Data'!$C$2:$C$410,MATCH(A189,'Raw Data'!$B$2:$B$410,0))</f>
        <v>Lego Star Wars</v>
      </c>
      <c r="D189" s="7">
        <f>_xlfn.MINIFS('Raw Data'!$E$2:$E$410,'Raw Data'!$B$2:$B$410,A189)</f>
        <v>70.739999999999995</v>
      </c>
      <c r="E189" s="5" t="str">
        <f>INDEX('Raw Data'!$A$2:$A$410,MATCH(1,INDEX(('Raw Data'!$B$2:$B$410=A189)*('Raw Data'!$E$2:$E$410=D189),0),0))</f>
        <v>bricksdirect</v>
      </c>
      <c r="F189" s="7">
        <f>_xlfn.MAXIFS('Raw Data'!$E$2:$E$410,'Raw Data'!$B$2:$B$410,A189)</f>
        <v>70.739999999999995</v>
      </c>
      <c r="G189" s="5" t="str">
        <f>INDEX('Raw Data'!$A$2:$A$410,MATCH(1,INDEX(('Raw Data'!$B$2:$B$410=A189)*('Raw Data'!$E$2:$E$410=F189),0),0))</f>
        <v>bricksdirect</v>
      </c>
      <c r="H189" s="7">
        <f t="shared" si="2"/>
        <v>0</v>
      </c>
      <c r="I189" s="5">
        <f>COUNTIF('Raw Data'!$B$2:$B$410,A189)</f>
        <v>1</v>
      </c>
    </row>
    <row r="190" spans="1:9" hidden="1" x14ac:dyDescent="0.35">
      <c r="A190" s="5">
        <v>75409</v>
      </c>
      <c r="B190" s="6" t="str">
        <f>INDEX('Raw Data'!$D$2:$D$410,MATCH(A190,'Raw Data'!$B$2:$B$410,0))</f>
        <v>LEGO 75409 Jango Fett’s Firespray-Class Starship</v>
      </c>
      <c r="C190" s="5" t="str">
        <f>INDEX('Raw Data'!$C$2:$C$410,MATCH(A190,'Raw Data'!$B$2:$B$410,0))</f>
        <v>Lego Star Wars</v>
      </c>
      <c r="D190" s="7">
        <f>_xlfn.MINIFS('Raw Data'!$E$2:$E$410,'Raw Data'!$B$2:$B$410,A190)</f>
        <v>353.75</v>
      </c>
      <c r="E190" s="5" t="str">
        <f>INDEX('Raw Data'!$A$2:$A$410,MATCH(1,INDEX(('Raw Data'!$B$2:$B$410=A190)*('Raw Data'!$E$2:$E$410=D190),0),0))</f>
        <v>bricksdirect</v>
      </c>
      <c r="F190" s="7">
        <f>_xlfn.MAXIFS('Raw Data'!$E$2:$E$410,'Raw Data'!$B$2:$B$410,A190)</f>
        <v>353.75</v>
      </c>
      <c r="G190" s="5" t="str">
        <f>INDEX('Raw Data'!$A$2:$A$410,MATCH(1,INDEX(('Raw Data'!$B$2:$B$410=A190)*('Raw Data'!$E$2:$E$410=F190),0),0))</f>
        <v>bricksdirect</v>
      </c>
      <c r="H190" s="7">
        <f t="shared" si="2"/>
        <v>0</v>
      </c>
      <c r="I190" s="5">
        <f>COUNTIF('Raw Data'!$B$2:$B$410,A190)</f>
        <v>1</v>
      </c>
    </row>
    <row r="191" spans="1:9" hidden="1" x14ac:dyDescent="0.35">
      <c r="A191" s="5">
        <v>75410</v>
      </c>
      <c r="B191" s="6" t="str">
        <f>INDEX('Raw Data'!$D$2:$D$410,MATCH(A191,'Raw Data'!$B$2:$B$410,0))</f>
        <v>LEGO 75410 Mando and Grogu’s N-1 Starfighter</v>
      </c>
      <c r="C191" s="5" t="str">
        <f>INDEX('Raw Data'!$C$2:$C$410,MATCH(A191,'Raw Data'!$B$2:$B$410,0))</f>
        <v>Lego Star Wars</v>
      </c>
      <c r="D191" s="7">
        <f>_xlfn.MINIFS('Raw Data'!$E$2:$E$410,'Raw Data'!$B$2:$B$410,A191)</f>
        <v>26.52</v>
      </c>
      <c r="E191" s="5" t="str">
        <f>INDEX('Raw Data'!$A$2:$A$410,MATCH(1,INDEX(('Raw Data'!$B$2:$B$410=A191)*('Raw Data'!$E$2:$E$410=D191),0),0))</f>
        <v>bricksdirect</v>
      </c>
      <c r="F191" s="7">
        <f>_xlfn.MAXIFS('Raw Data'!$E$2:$E$410,'Raw Data'!$B$2:$B$410,A191)</f>
        <v>26.52</v>
      </c>
      <c r="G191" s="5" t="str">
        <f>INDEX('Raw Data'!$A$2:$A$410,MATCH(1,INDEX(('Raw Data'!$B$2:$B$410=A191)*('Raw Data'!$E$2:$E$410=F191),0),0))</f>
        <v>bricksdirect</v>
      </c>
      <c r="H191" s="7">
        <f t="shared" si="2"/>
        <v>0</v>
      </c>
      <c r="I191" s="5">
        <f>COUNTIF('Raw Data'!$B$2:$B$410,A191)</f>
        <v>1</v>
      </c>
    </row>
    <row r="192" spans="1:9" hidden="1" x14ac:dyDescent="0.35">
      <c r="A192" s="5">
        <v>75411</v>
      </c>
      <c r="B192" s="6" t="str">
        <f>INDEX('Raw Data'!$D$2:$D$410,MATCH(A192,'Raw Data'!$B$2:$B$410,0))</f>
        <v>LEGO 75411 Darth Maul Mech</v>
      </c>
      <c r="C192" s="5" t="str">
        <f>INDEX('Raw Data'!$C$2:$C$410,MATCH(A192,'Raw Data'!$B$2:$B$410,0))</f>
        <v>Lego Star Wars</v>
      </c>
      <c r="D192" s="7">
        <f>_xlfn.MINIFS('Raw Data'!$E$2:$E$410,'Raw Data'!$B$2:$B$410,A192)</f>
        <v>13.26</v>
      </c>
      <c r="E192" s="5" t="str">
        <f>INDEX('Raw Data'!$A$2:$A$410,MATCH(1,INDEX(('Raw Data'!$B$2:$B$410=A192)*('Raw Data'!$E$2:$E$410=D192),0),0))</f>
        <v>bricksdirect</v>
      </c>
      <c r="F192" s="7">
        <f>_xlfn.MAXIFS('Raw Data'!$E$2:$E$410,'Raw Data'!$B$2:$B$410,A192)</f>
        <v>13.26</v>
      </c>
      <c r="G192" s="5" t="str">
        <f>INDEX('Raw Data'!$A$2:$A$410,MATCH(1,INDEX(('Raw Data'!$B$2:$B$410=A192)*('Raw Data'!$E$2:$E$410=F192),0),0))</f>
        <v>bricksdirect</v>
      </c>
      <c r="H192" s="7">
        <f t="shared" si="2"/>
        <v>0</v>
      </c>
      <c r="I192" s="5">
        <f>COUNTIF('Raw Data'!$B$2:$B$410,A192)</f>
        <v>1</v>
      </c>
    </row>
    <row r="193" spans="1:9" hidden="1" x14ac:dyDescent="0.35">
      <c r="A193" s="5">
        <v>75412</v>
      </c>
      <c r="B193" s="6" t="str">
        <f>INDEX('Raw Data'!$D$2:$D$410,MATCH(A193,'Raw Data'!$B$2:$B$410,0))</f>
        <v>LEGO 75412 Death Trooper &amp; Night Trooper Battle Pack</v>
      </c>
      <c r="C193" s="5" t="str">
        <f>INDEX('Raw Data'!$C$2:$C$410,MATCH(A193,'Raw Data'!$B$2:$B$410,0))</f>
        <v>Lego Star Wars</v>
      </c>
      <c r="D193" s="7">
        <f>_xlfn.MINIFS('Raw Data'!$E$2:$E$410,'Raw Data'!$B$2:$B$410,A193)</f>
        <v>22.1</v>
      </c>
      <c r="E193" s="5" t="str">
        <f>INDEX('Raw Data'!$A$2:$A$410,MATCH(1,INDEX(('Raw Data'!$B$2:$B$410=A193)*('Raw Data'!$E$2:$E$410=D193),0),0))</f>
        <v>bricksdirect</v>
      </c>
      <c r="F193" s="7">
        <f>_xlfn.MAXIFS('Raw Data'!$E$2:$E$410,'Raw Data'!$B$2:$B$410,A193)</f>
        <v>22.1</v>
      </c>
      <c r="G193" s="5" t="str">
        <f>INDEX('Raw Data'!$A$2:$A$410,MATCH(1,INDEX(('Raw Data'!$B$2:$B$410=A193)*('Raw Data'!$E$2:$E$410=F193),0),0))</f>
        <v>bricksdirect</v>
      </c>
      <c r="H193" s="7">
        <f t="shared" si="2"/>
        <v>0</v>
      </c>
      <c r="I193" s="5">
        <f>COUNTIF('Raw Data'!$B$2:$B$410,A193)</f>
        <v>1</v>
      </c>
    </row>
    <row r="194" spans="1:9" hidden="1" x14ac:dyDescent="0.35">
      <c r="A194" s="5">
        <v>75413</v>
      </c>
      <c r="B194" s="6" t="str">
        <f>INDEX('Raw Data'!$D$2:$D$410,MATCH(A194,'Raw Data'!$B$2:$B$410,0))</f>
        <v>LEGO 75413 Republic Juggernaut</v>
      </c>
      <c r="C194" s="5" t="str">
        <f>INDEX('Raw Data'!$C$2:$C$410,MATCH(A194,'Raw Data'!$B$2:$B$410,0))</f>
        <v>Lego Star Wars</v>
      </c>
      <c r="D194" s="7">
        <f>_xlfn.MINIFS('Raw Data'!$E$2:$E$410,'Raw Data'!$B$2:$B$410,A194)</f>
        <v>137.07</v>
      </c>
      <c r="E194" s="5" t="str">
        <f>INDEX('Raw Data'!$A$2:$A$410,MATCH(1,INDEX(('Raw Data'!$B$2:$B$410=A194)*('Raw Data'!$E$2:$E$410=D194),0),0))</f>
        <v>bricksdirect</v>
      </c>
      <c r="F194" s="7">
        <f>_xlfn.MAXIFS('Raw Data'!$E$2:$E$410,'Raw Data'!$B$2:$B$410,A194)</f>
        <v>137.07</v>
      </c>
      <c r="G194" s="5" t="str">
        <f>INDEX('Raw Data'!$A$2:$A$410,MATCH(1,INDEX(('Raw Data'!$B$2:$B$410=A194)*('Raw Data'!$E$2:$E$410=F194),0),0))</f>
        <v>bricksdirect</v>
      </c>
      <c r="H194" s="7">
        <f t="shared" ref="H194:H246" si="3">F194-D194</f>
        <v>0</v>
      </c>
      <c r="I194" s="5">
        <f>COUNTIF('Raw Data'!$B$2:$B$410,A194)</f>
        <v>1</v>
      </c>
    </row>
    <row r="195" spans="1:9" hidden="1" x14ac:dyDescent="0.35">
      <c r="A195" s="5">
        <v>75414</v>
      </c>
      <c r="B195" s="6" t="str">
        <f>INDEX('Raw Data'!$D$2:$D$410,MATCH(A195,'Raw Data'!$B$2:$B$410,0))</f>
        <v>LEGO 75414 The Force Burner Snowspeeder</v>
      </c>
      <c r="C195" s="5" t="str">
        <f>INDEX('Raw Data'!$C$2:$C$410,MATCH(A195,'Raw Data'!$B$2:$B$410,0))</f>
        <v>Lego Star Wars</v>
      </c>
      <c r="D195" s="7">
        <f>_xlfn.MINIFS('Raw Data'!$E$2:$E$410,'Raw Data'!$B$2:$B$410,A195)</f>
        <v>44.21</v>
      </c>
      <c r="E195" s="5" t="str">
        <f>INDEX('Raw Data'!$A$2:$A$410,MATCH(1,INDEX(('Raw Data'!$B$2:$B$410=A195)*('Raw Data'!$E$2:$E$410=D195),0),0))</f>
        <v>bricksdirect</v>
      </c>
      <c r="F195" s="7">
        <f>_xlfn.MAXIFS('Raw Data'!$E$2:$E$410,'Raw Data'!$B$2:$B$410,A195)</f>
        <v>44.21</v>
      </c>
      <c r="G195" s="5" t="str">
        <f>INDEX('Raw Data'!$A$2:$A$410,MATCH(1,INDEX(('Raw Data'!$B$2:$B$410=A195)*('Raw Data'!$E$2:$E$410=F195),0),0))</f>
        <v>bricksdirect</v>
      </c>
      <c r="H195" s="7">
        <f t="shared" si="3"/>
        <v>0</v>
      </c>
      <c r="I195" s="5">
        <f>COUNTIF('Raw Data'!$B$2:$B$410,A195)</f>
        <v>1</v>
      </c>
    </row>
    <row r="196" spans="1:9" hidden="1" x14ac:dyDescent="0.35">
      <c r="A196" s="5">
        <v>75415</v>
      </c>
      <c r="B196" s="6" t="str">
        <f>INDEX('Raw Data'!$D$2:$D$410,MATCH(A196,'Raw Data'!$B$2:$B$410,0))</f>
        <v>LEGO 75415 Kylo Ren Helmet</v>
      </c>
      <c r="C196" s="5" t="str">
        <f>INDEX('Raw Data'!$C$2:$C$410,MATCH(A196,'Raw Data'!$B$2:$B$410,0))</f>
        <v>Lego Star Wars</v>
      </c>
      <c r="D196" s="7">
        <f>_xlfn.MINIFS('Raw Data'!$E$2:$E$410,'Raw Data'!$B$2:$B$410,A196)</f>
        <v>88.43</v>
      </c>
      <c r="E196" s="5" t="str">
        <f>INDEX('Raw Data'!$A$2:$A$410,MATCH(1,INDEX(('Raw Data'!$B$2:$B$410=A196)*('Raw Data'!$E$2:$E$410=D196),0),0))</f>
        <v>bricksdirect</v>
      </c>
      <c r="F196" s="7">
        <f>_xlfn.MAXIFS('Raw Data'!$E$2:$E$410,'Raw Data'!$B$2:$B$410,A196)</f>
        <v>88.43</v>
      </c>
      <c r="G196" s="5" t="str">
        <f>INDEX('Raw Data'!$A$2:$A$410,MATCH(1,INDEX(('Raw Data'!$B$2:$B$410=A196)*('Raw Data'!$E$2:$E$410=F196),0),0))</f>
        <v>bricksdirect</v>
      </c>
      <c r="H196" s="7">
        <f t="shared" si="3"/>
        <v>0</v>
      </c>
      <c r="I196" s="5">
        <f>COUNTIF('Raw Data'!$B$2:$B$410,A196)</f>
        <v>1</v>
      </c>
    </row>
    <row r="197" spans="1:9" hidden="1" x14ac:dyDescent="0.35">
      <c r="A197" s="5">
        <v>75416</v>
      </c>
      <c r="B197" s="6" t="str">
        <f>INDEX('Raw Data'!$D$2:$D$410,MATCH(A197,'Raw Data'!$B$2:$B$410,0))</f>
        <v>LEGO 75416 Chopper (C1-10P) Astromech Droid</v>
      </c>
      <c r="C197" s="5" t="str">
        <f>INDEX('Raw Data'!$C$2:$C$410,MATCH(A197,'Raw Data'!$B$2:$B$410,0))</f>
        <v>Lego Star Wars</v>
      </c>
      <c r="D197" s="7">
        <f>_xlfn.MINIFS('Raw Data'!$E$2:$E$410,'Raw Data'!$B$2:$B$410,A197)</f>
        <v>100.59</v>
      </c>
      <c r="E197" s="5" t="str">
        <f>INDEX('Raw Data'!$A$2:$A$410,MATCH(1,INDEX(('Raw Data'!$B$2:$B$410=A197)*('Raw Data'!$E$2:$E$410=D197),0),0))</f>
        <v>bricksdirect</v>
      </c>
      <c r="F197" s="7">
        <f>_xlfn.MAXIFS('Raw Data'!$E$2:$E$410,'Raw Data'!$B$2:$B$410,A197)</f>
        <v>100.59</v>
      </c>
      <c r="G197" s="5" t="str">
        <f>INDEX('Raw Data'!$A$2:$A$410,MATCH(1,INDEX(('Raw Data'!$B$2:$B$410=A197)*('Raw Data'!$E$2:$E$410=F197),0),0))</f>
        <v>bricksdirect</v>
      </c>
      <c r="H197" s="7">
        <f t="shared" si="3"/>
        <v>0</v>
      </c>
      <c r="I197" s="5">
        <f>COUNTIF('Raw Data'!$B$2:$B$410,A197)</f>
        <v>1</v>
      </c>
    </row>
    <row r="198" spans="1:9" hidden="1" x14ac:dyDescent="0.35">
      <c r="A198" s="5">
        <v>75417</v>
      </c>
      <c r="B198" s="6" t="str">
        <f>INDEX('Raw Data'!$D$2:$D$410,MATCH(A198,'Raw Data'!$B$2:$B$410,0))</f>
        <v>LEGO 75417 AT-ST Walker</v>
      </c>
      <c r="C198" s="5" t="str">
        <f>INDEX('Raw Data'!$C$2:$C$410,MATCH(A198,'Raw Data'!$B$2:$B$410,0))</f>
        <v>Lego Star Wars</v>
      </c>
      <c r="D198" s="7">
        <f>_xlfn.MINIFS('Raw Data'!$E$2:$E$410,'Raw Data'!$B$2:$B$410,A198)</f>
        <v>182.4</v>
      </c>
      <c r="E198" s="5" t="str">
        <f>INDEX('Raw Data'!$A$2:$A$410,MATCH(1,INDEX(('Raw Data'!$B$2:$B$410=A198)*('Raw Data'!$E$2:$E$410=D198),0),0))</f>
        <v>bricksdirect</v>
      </c>
      <c r="F198" s="7">
        <f>_xlfn.MAXIFS('Raw Data'!$E$2:$E$410,'Raw Data'!$B$2:$B$410,A198)</f>
        <v>182.4</v>
      </c>
      <c r="G198" s="5" t="str">
        <f>INDEX('Raw Data'!$A$2:$A$410,MATCH(1,INDEX(('Raw Data'!$B$2:$B$410=A198)*('Raw Data'!$E$2:$E$410=F198),0),0))</f>
        <v>bricksdirect</v>
      </c>
      <c r="H198" s="7">
        <f t="shared" si="3"/>
        <v>0</v>
      </c>
      <c r="I198" s="5">
        <f>COUNTIF('Raw Data'!$B$2:$B$410,A198)</f>
        <v>1</v>
      </c>
    </row>
    <row r="199" spans="1:9" hidden="1" x14ac:dyDescent="0.35">
      <c r="A199" s="5">
        <v>75418</v>
      </c>
      <c r="B199" s="6" t="str">
        <f>INDEX('Raw Data'!$D$2:$D$410,MATCH(A199,'Raw Data'!$B$2:$B$410,0))</f>
        <v>LEGO 75418 Advent Calendar 2025, Star Wars</v>
      </c>
      <c r="C199" s="5" t="str">
        <f>INDEX('Raw Data'!$C$2:$C$410,MATCH(A199,'Raw Data'!$B$2:$B$410,0))</f>
        <v>Lego Star Wars</v>
      </c>
      <c r="D199" s="7">
        <f>_xlfn.MINIFS('Raw Data'!$E$2:$E$410,'Raw Data'!$B$2:$B$410,A199)</f>
        <v>38.68</v>
      </c>
      <c r="E199" s="5" t="str">
        <f>INDEX('Raw Data'!$A$2:$A$410,MATCH(1,INDEX(('Raw Data'!$B$2:$B$410=A199)*('Raw Data'!$E$2:$E$410=D199),0),0))</f>
        <v>bricksdirect</v>
      </c>
      <c r="F199" s="7">
        <f>_xlfn.MAXIFS('Raw Data'!$E$2:$E$410,'Raw Data'!$B$2:$B$410,A199)</f>
        <v>38.68</v>
      </c>
      <c r="G199" s="5" t="str">
        <f>INDEX('Raw Data'!$A$2:$A$410,MATCH(1,INDEX(('Raw Data'!$B$2:$B$410=A199)*('Raw Data'!$E$2:$E$410=F199),0),0))</f>
        <v>bricksdirect</v>
      </c>
      <c r="H199" s="7">
        <f t="shared" si="3"/>
        <v>0</v>
      </c>
      <c r="I199" s="5">
        <f>COUNTIF('Raw Data'!$B$2:$B$410,A199)</f>
        <v>1</v>
      </c>
    </row>
    <row r="200" spans="1:9" x14ac:dyDescent="0.35">
      <c r="A200" s="5">
        <v>75419</v>
      </c>
      <c r="B200" s="6" t="str">
        <f>INDEX('Raw Data'!$D$2:$D$410,MATCH(A200,'Raw Data'!$B$2:$B$410,0))</f>
        <v>LEGO 75419 Death Star</v>
      </c>
      <c r="C200" s="5" t="str">
        <f>INDEX('Raw Data'!$C$2:$C$410,MATCH(A200,'Raw Data'!$B$2:$B$410,0))</f>
        <v>Lego Star Wars</v>
      </c>
      <c r="D200" s="7">
        <f>_xlfn.MINIFS('Raw Data'!$E$2:$E$410,'Raw Data'!$B$2:$B$410,A200)</f>
        <v>999.99</v>
      </c>
      <c r="E200" s="5" t="str">
        <f>INDEX('Raw Data'!$A$2:$A$410,MATCH(1,INDEX(('Raw Data'!$B$2:$B$410=A200)*('Raw Data'!$E$2:$E$410=D200),0),0))</f>
        <v>JB Spielwaren</v>
      </c>
      <c r="F200" s="7">
        <f>_xlfn.MAXIFS('Raw Data'!$E$2:$E$410,'Raw Data'!$B$2:$B$410,A200)</f>
        <v>1216.05</v>
      </c>
      <c r="G200" s="5" t="str">
        <f>INDEX('Raw Data'!$A$2:$A$410,MATCH(1,INDEX(('Raw Data'!$B$2:$B$410=A200)*('Raw Data'!$E$2:$E$410=F200),0),0))</f>
        <v>bricksdirect</v>
      </c>
      <c r="H200" s="7">
        <f t="shared" si="3"/>
        <v>216.05999999999995</v>
      </c>
      <c r="I200" s="5">
        <f>COUNTIF('Raw Data'!$B$2:$B$410,A200)</f>
        <v>2</v>
      </c>
    </row>
    <row r="201" spans="1:9" hidden="1" x14ac:dyDescent="0.35">
      <c r="A201" s="5">
        <v>75420</v>
      </c>
      <c r="B201" s="6" t="str">
        <f>INDEX('Raw Data'!$D$2:$D$410,MATCH(A201,'Raw Data'!$B$2:$B$410,0))</f>
        <v>LEGO 75420 SMART Play: Luke’s Landspeeder</v>
      </c>
      <c r="C201" s="5" t="str">
        <f>INDEX('Raw Data'!$C$2:$C$410,MATCH(A201,'Raw Data'!$B$2:$B$410,0))</f>
        <v>Lego Star Wars</v>
      </c>
      <c r="D201" s="7">
        <f>_xlfn.MINIFS('Raw Data'!$E$2:$E$410,'Raw Data'!$B$2:$B$410,A201)</f>
        <v>55.26</v>
      </c>
      <c r="E201" s="5" t="str">
        <f>INDEX('Raw Data'!$A$2:$A$410,MATCH(1,INDEX(('Raw Data'!$B$2:$B$410=A201)*('Raw Data'!$E$2:$E$410=D201),0),0))</f>
        <v>bricksdirect</v>
      </c>
      <c r="F201" s="7">
        <f>_xlfn.MAXIFS('Raw Data'!$E$2:$E$410,'Raw Data'!$B$2:$B$410,A201)</f>
        <v>55.26</v>
      </c>
      <c r="G201" s="5" t="str">
        <f>INDEX('Raw Data'!$A$2:$A$410,MATCH(1,INDEX(('Raw Data'!$B$2:$B$410=A201)*('Raw Data'!$E$2:$E$410=F201),0),0))</f>
        <v>bricksdirect</v>
      </c>
      <c r="H201" s="7">
        <f t="shared" si="3"/>
        <v>0</v>
      </c>
      <c r="I201" s="5">
        <f>COUNTIF('Raw Data'!$B$2:$B$410,A201)</f>
        <v>1</v>
      </c>
    </row>
    <row r="202" spans="1:9" hidden="1" x14ac:dyDescent="0.35">
      <c r="A202" s="5">
        <v>75421</v>
      </c>
      <c r="B202" s="6" t="str">
        <f>INDEX('Raw Data'!$D$2:$D$410,MATCH(A202,'Raw Data'!$B$2:$B$410,0))</f>
        <v>LEGO 75421 SMART Play: Darth Vader’s TIE Fighter</v>
      </c>
      <c r="C202" s="5" t="str">
        <f>INDEX('Raw Data'!$C$2:$C$410,MATCH(A202,'Raw Data'!$B$2:$B$410,0))</f>
        <v>Lego Star Wars</v>
      </c>
      <c r="D202" s="7">
        <f>_xlfn.MINIFS('Raw Data'!$E$2:$E$410,'Raw Data'!$B$2:$B$410,A202)</f>
        <v>88.43</v>
      </c>
      <c r="E202" s="5" t="str">
        <f>INDEX('Raw Data'!$A$2:$A$410,MATCH(1,INDEX(('Raw Data'!$B$2:$B$410=A202)*('Raw Data'!$E$2:$E$410=D202),0),0))</f>
        <v>bricksdirect</v>
      </c>
      <c r="F202" s="7">
        <f>_xlfn.MAXIFS('Raw Data'!$E$2:$E$410,'Raw Data'!$B$2:$B$410,A202)</f>
        <v>88.43</v>
      </c>
      <c r="G202" s="5" t="str">
        <f>INDEX('Raw Data'!$A$2:$A$410,MATCH(1,INDEX(('Raw Data'!$B$2:$B$410=A202)*('Raw Data'!$E$2:$E$410=F202),0),0))</f>
        <v>bricksdirect</v>
      </c>
      <c r="H202" s="7">
        <f t="shared" si="3"/>
        <v>0</v>
      </c>
      <c r="I202" s="5">
        <f>COUNTIF('Raw Data'!$B$2:$B$410,A202)</f>
        <v>1</v>
      </c>
    </row>
    <row r="203" spans="1:9" hidden="1" x14ac:dyDescent="0.35">
      <c r="A203" s="5">
        <v>75422</v>
      </c>
      <c r="B203" s="6" t="str">
        <f>INDEX('Raw Data'!$D$2:$D$410,MATCH(A203,'Raw Data'!$B$2:$B$410,0))</f>
        <v>LEGO 75422 SMART Play: Yoda’s Hut and Jedi Training</v>
      </c>
      <c r="C203" s="5" t="str">
        <f>INDEX('Raw Data'!$C$2:$C$410,MATCH(A203,'Raw Data'!$B$2:$B$410,0))</f>
        <v>Lego Star Wars</v>
      </c>
      <c r="D203" s="7">
        <f>_xlfn.MINIFS('Raw Data'!$E$2:$E$410,'Raw Data'!$B$2:$B$410,A203)</f>
        <v>88.43</v>
      </c>
      <c r="E203" s="5" t="str">
        <f>INDEX('Raw Data'!$A$2:$A$410,MATCH(1,INDEX(('Raw Data'!$B$2:$B$410=A203)*('Raw Data'!$E$2:$E$410=D203),0),0))</f>
        <v>bricksdirect</v>
      </c>
      <c r="F203" s="7">
        <f>_xlfn.MAXIFS('Raw Data'!$E$2:$E$410,'Raw Data'!$B$2:$B$410,A203)</f>
        <v>88.43</v>
      </c>
      <c r="G203" s="5" t="str">
        <f>INDEX('Raw Data'!$A$2:$A$410,MATCH(1,INDEX(('Raw Data'!$B$2:$B$410=A203)*('Raw Data'!$E$2:$E$410=F203),0),0))</f>
        <v>bricksdirect</v>
      </c>
      <c r="H203" s="7">
        <f t="shared" si="3"/>
        <v>0</v>
      </c>
      <c r="I203" s="5">
        <f>COUNTIF('Raw Data'!$B$2:$B$410,A203)</f>
        <v>1</v>
      </c>
    </row>
    <row r="204" spans="1:9" hidden="1" x14ac:dyDescent="0.35">
      <c r="A204" s="5">
        <v>75423</v>
      </c>
      <c r="B204" s="6" t="str">
        <f>INDEX('Raw Data'!$D$2:$D$410,MATCH(A204,'Raw Data'!$B$2:$B$410,0))</f>
        <v>LEGO 75423 SMART Play: Luke’s Red Five X-Wing</v>
      </c>
      <c r="C204" s="5" t="str">
        <f>INDEX('Raw Data'!$C$2:$C$410,MATCH(A204,'Raw Data'!$B$2:$B$410,0))</f>
        <v>Lego Star Wars</v>
      </c>
      <c r="D204" s="7">
        <f>_xlfn.MINIFS('Raw Data'!$E$2:$E$410,'Raw Data'!$B$2:$B$410,A204)</f>
        <v>110.54</v>
      </c>
      <c r="E204" s="5" t="str">
        <f>INDEX('Raw Data'!$A$2:$A$410,MATCH(1,INDEX(('Raw Data'!$B$2:$B$410=A204)*('Raw Data'!$E$2:$E$410=D204),0),0))</f>
        <v>bricksdirect</v>
      </c>
      <c r="F204" s="7">
        <f>_xlfn.MAXIFS('Raw Data'!$E$2:$E$410,'Raw Data'!$B$2:$B$410,A204)</f>
        <v>110.54</v>
      </c>
      <c r="G204" s="5" t="str">
        <f>INDEX('Raw Data'!$A$2:$A$410,MATCH(1,INDEX(('Raw Data'!$B$2:$B$410=A204)*('Raw Data'!$E$2:$E$410=F204),0),0))</f>
        <v>bricksdirect</v>
      </c>
      <c r="H204" s="7">
        <f t="shared" si="3"/>
        <v>0</v>
      </c>
      <c r="I204" s="5">
        <f>COUNTIF('Raw Data'!$B$2:$B$410,A204)</f>
        <v>1</v>
      </c>
    </row>
    <row r="205" spans="1:9" hidden="1" x14ac:dyDescent="0.35">
      <c r="A205" s="5">
        <v>75424</v>
      </c>
      <c r="B205" s="6" t="str">
        <f>INDEX('Raw Data'!$D$2:$D$410,MATCH(A205,'Raw Data'!$B$2:$B$410,0))</f>
        <v>LEGO 75424 SMART Play: AT-ST Attack on Endor</v>
      </c>
      <c r="C205" s="5" t="str">
        <f>INDEX('Raw Data'!$C$2:$C$410,MATCH(A205,'Raw Data'!$B$2:$B$410,0))</f>
        <v>Lego Star Wars</v>
      </c>
      <c r="D205" s="7">
        <f>_xlfn.MINIFS('Raw Data'!$E$2:$E$410,'Raw Data'!$B$2:$B$410,A205)</f>
        <v>66.319999999999993</v>
      </c>
      <c r="E205" s="5" t="str">
        <f>INDEX('Raw Data'!$A$2:$A$410,MATCH(1,INDEX(('Raw Data'!$B$2:$B$410=A205)*('Raw Data'!$E$2:$E$410=D205),0),0))</f>
        <v>bricksdirect</v>
      </c>
      <c r="F205" s="7">
        <f>_xlfn.MAXIFS('Raw Data'!$E$2:$E$410,'Raw Data'!$B$2:$B$410,A205)</f>
        <v>66.319999999999993</v>
      </c>
      <c r="G205" s="5" t="str">
        <f>INDEX('Raw Data'!$A$2:$A$410,MATCH(1,INDEX(('Raw Data'!$B$2:$B$410=A205)*('Raw Data'!$E$2:$E$410=F205),0),0))</f>
        <v>bricksdirect</v>
      </c>
      <c r="H205" s="7">
        <f t="shared" si="3"/>
        <v>0</v>
      </c>
      <c r="I205" s="5">
        <f>COUNTIF('Raw Data'!$B$2:$B$410,A205)</f>
        <v>1</v>
      </c>
    </row>
    <row r="206" spans="1:9" hidden="1" x14ac:dyDescent="0.35">
      <c r="A206" s="5">
        <v>75425</v>
      </c>
      <c r="B206" s="6" t="str">
        <f>INDEX('Raw Data'!$D$2:$D$410,MATCH(A206,'Raw Data'!$B$2:$B$410,0))</f>
        <v>LEGO 75425 SMART Play: Mos Eisley Cantina</v>
      </c>
      <c r="C206" s="5" t="str">
        <f>INDEX('Raw Data'!$C$2:$C$410,MATCH(A206,'Raw Data'!$B$2:$B$410,0))</f>
        <v>Lego Star Wars</v>
      </c>
      <c r="D206" s="7">
        <f>_xlfn.MINIFS('Raw Data'!$E$2:$E$410,'Raw Data'!$B$2:$B$410,A206)</f>
        <v>99.49</v>
      </c>
      <c r="E206" s="5" t="str">
        <f>INDEX('Raw Data'!$A$2:$A$410,MATCH(1,INDEX(('Raw Data'!$B$2:$B$410=A206)*('Raw Data'!$E$2:$E$410=D206),0),0))</f>
        <v>bricksdirect</v>
      </c>
      <c r="F206" s="7">
        <f>_xlfn.MAXIFS('Raw Data'!$E$2:$E$410,'Raw Data'!$B$2:$B$410,A206)</f>
        <v>99.49</v>
      </c>
      <c r="G206" s="5" t="str">
        <f>INDEX('Raw Data'!$A$2:$A$410,MATCH(1,INDEX(('Raw Data'!$B$2:$B$410=A206)*('Raw Data'!$E$2:$E$410=F206),0),0))</f>
        <v>bricksdirect</v>
      </c>
      <c r="H206" s="7">
        <f t="shared" si="3"/>
        <v>0</v>
      </c>
      <c r="I206" s="5">
        <f>COUNTIF('Raw Data'!$B$2:$B$410,A206)</f>
        <v>1</v>
      </c>
    </row>
    <row r="207" spans="1:9" hidden="1" x14ac:dyDescent="0.35">
      <c r="A207" s="5">
        <v>75426</v>
      </c>
      <c r="B207" s="6" t="str">
        <f>INDEX('Raw Data'!$D$2:$D$410,MATCH(A207,'Raw Data'!$B$2:$B$410,0))</f>
        <v>LEGO 75426 SMART Play: Millennium Falcon</v>
      </c>
      <c r="C207" s="5" t="str">
        <f>INDEX('Raw Data'!$C$2:$C$410,MATCH(A207,'Raw Data'!$B$2:$B$410,0))</f>
        <v>Lego Star Wars</v>
      </c>
      <c r="D207" s="7">
        <f>_xlfn.MINIFS('Raw Data'!$E$2:$E$410,'Raw Data'!$B$2:$B$410,A207)</f>
        <v>121.6</v>
      </c>
      <c r="E207" s="5" t="str">
        <f>INDEX('Raw Data'!$A$2:$A$410,MATCH(1,INDEX(('Raw Data'!$B$2:$B$410=A207)*('Raw Data'!$E$2:$E$410=D207),0),0))</f>
        <v>bricksdirect</v>
      </c>
      <c r="F207" s="7">
        <f>_xlfn.MAXIFS('Raw Data'!$E$2:$E$410,'Raw Data'!$B$2:$B$410,A207)</f>
        <v>121.6</v>
      </c>
      <c r="G207" s="5" t="str">
        <f>INDEX('Raw Data'!$A$2:$A$410,MATCH(1,INDEX(('Raw Data'!$B$2:$B$410=A207)*('Raw Data'!$E$2:$E$410=F207),0),0))</f>
        <v>bricksdirect</v>
      </c>
      <c r="H207" s="7">
        <f t="shared" si="3"/>
        <v>0</v>
      </c>
      <c r="I207" s="5">
        <f>COUNTIF('Raw Data'!$B$2:$B$410,A207)</f>
        <v>1</v>
      </c>
    </row>
    <row r="208" spans="1:9" hidden="1" x14ac:dyDescent="0.35">
      <c r="A208" s="5">
        <v>75427</v>
      </c>
      <c r="B208" s="6" t="str">
        <f>INDEX('Raw Data'!$D$2:$D$410,MATCH(A208,'Raw Data'!$B$2:$B$410,0))</f>
        <v>LEGO 75427 SMART Play: Throne Room Duel &amp; A-Wing</v>
      </c>
      <c r="C208" s="5" t="str">
        <f>INDEX('Raw Data'!$C$2:$C$410,MATCH(A208,'Raw Data'!$B$2:$B$410,0))</f>
        <v>Lego Star Wars</v>
      </c>
      <c r="D208" s="7">
        <f>_xlfn.MINIFS('Raw Data'!$E$2:$E$410,'Raw Data'!$B$2:$B$410,A208)</f>
        <v>187.93</v>
      </c>
      <c r="E208" s="5" t="str">
        <f>INDEX('Raw Data'!$A$2:$A$410,MATCH(1,INDEX(('Raw Data'!$B$2:$B$410=A208)*('Raw Data'!$E$2:$E$410=D208),0),0))</f>
        <v>bricksdirect</v>
      </c>
      <c r="F208" s="7">
        <f>_xlfn.MAXIFS('Raw Data'!$E$2:$E$410,'Raw Data'!$B$2:$B$410,A208)</f>
        <v>187.93</v>
      </c>
      <c r="G208" s="5" t="str">
        <f>INDEX('Raw Data'!$A$2:$A$410,MATCH(1,INDEX(('Raw Data'!$B$2:$B$410=A208)*('Raw Data'!$E$2:$E$410=F208),0),0))</f>
        <v>bricksdirect</v>
      </c>
      <c r="H208" s="7">
        <f t="shared" si="3"/>
        <v>0</v>
      </c>
      <c r="I208" s="5">
        <f>COUNTIF('Raw Data'!$B$2:$B$410,A208)</f>
        <v>1</v>
      </c>
    </row>
    <row r="209" spans="1:9" hidden="1" x14ac:dyDescent="0.35">
      <c r="A209" s="5">
        <v>75428</v>
      </c>
      <c r="B209" s="6" t="str">
        <f>INDEX('Raw Data'!$D$2:$D$410,MATCH(A209,'Raw Data'!$B$2:$B$410,0))</f>
        <v>LEGO 75428 Battle Droid with STAP</v>
      </c>
      <c r="C209" s="5" t="str">
        <f>INDEX('Raw Data'!$C$2:$C$410,MATCH(A209,'Raw Data'!$B$2:$B$410,0))</f>
        <v>Lego Star Wars</v>
      </c>
      <c r="D209" s="7">
        <f>_xlfn.MINIFS('Raw Data'!$E$2:$E$410,'Raw Data'!$B$2:$B$410,A209)</f>
        <v>154.76</v>
      </c>
      <c r="E209" s="5" t="str">
        <f>INDEX('Raw Data'!$A$2:$A$410,MATCH(1,INDEX(('Raw Data'!$B$2:$B$410=A209)*('Raw Data'!$E$2:$E$410=D209),0),0))</f>
        <v>bricksdirect</v>
      </c>
      <c r="F209" s="7">
        <f>_xlfn.MAXIFS('Raw Data'!$E$2:$E$410,'Raw Data'!$B$2:$B$410,A209)</f>
        <v>154.76</v>
      </c>
      <c r="G209" s="5" t="str">
        <f>INDEX('Raw Data'!$A$2:$A$410,MATCH(1,INDEX(('Raw Data'!$B$2:$B$410=A209)*('Raw Data'!$E$2:$E$410=F209),0),0))</f>
        <v>bricksdirect</v>
      </c>
      <c r="H209" s="7">
        <f t="shared" si="3"/>
        <v>0</v>
      </c>
      <c r="I209" s="5">
        <f>COUNTIF('Raw Data'!$B$2:$B$410,A209)</f>
        <v>1</v>
      </c>
    </row>
    <row r="210" spans="1:9" hidden="1" x14ac:dyDescent="0.35">
      <c r="A210" s="5">
        <v>75429</v>
      </c>
      <c r="B210" s="6" t="str">
        <f>INDEX('Raw Data'!$D$2:$D$410,MATCH(A210,'Raw Data'!$B$2:$B$410,0))</f>
        <v>LEGO 75429 AT-AT Driver Helmet</v>
      </c>
      <c r="C210" s="5" t="str">
        <f>INDEX('Raw Data'!$C$2:$C$410,MATCH(A210,'Raw Data'!$B$2:$B$410,0))</f>
        <v>Lego Star Wars</v>
      </c>
      <c r="D210" s="7">
        <f>_xlfn.MINIFS('Raw Data'!$E$2:$E$410,'Raw Data'!$B$2:$B$410,A210)</f>
        <v>110.54</v>
      </c>
      <c r="E210" s="5" t="str">
        <f>INDEX('Raw Data'!$A$2:$A$410,MATCH(1,INDEX(('Raw Data'!$B$2:$B$410=A210)*('Raw Data'!$E$2:$E$410=D210),0),0))</f>
        <v>bricksdirect</v>
      </c>
      <c r="F210" s="7">
        <f>_xlfn.MAXIFS('Raw Data'!$E$2:$E$410,'Raw Data'!$B$2:$B$410,A210)</f>
        <v>110.54</v>
      </c>
      <c r="G210" s="5" t="str">
        <f>INDEX('Raw Data'!$A$2:$A$410,MATCH(1,INDEX(('Raw Data'!$B$2:$B$410=A210)*('Raw Data'!$E$2:$E$410=F210),0),0))</f>
        <v>bricksdirect</v>
      </c>
      <c r="H210" s="7">
        <f t="shared" si="3"/>
        <v>0</v>
      </c>
      <c r="I210" s="5">
        <f>COUNTIF('Raw Data'!$B$2:$B$410,A210)</f>
        <v>1</v>
      </c>
    </row>
    <row r="211" spans="1:9" x14ac:dyDescent="0.35">
      <c r="A211" s="5">
        <v>75430</v>
      </c>
      <c r="B211" s="6" t="str">
        <f>INDEX('Raw Data'!$D$2:$D$410,MATCH(A211,'Raw Data'!$B$2:$B$410,0))</f>
        <v>LEGO 75430 Wicket the Ewok</v>
      </c>
      <c r="C211" s="5" t="str">
        <f>INDEX('Raw Data'!$C$2:$C$410,MATCH(A211,'Raw Data'!$B$2:$B$410,0))</f>
        <v>Lego Star Wars</v>
      </c>
      <c r="D211" s="7">
        <f>_xlfn.MINIFS('Raw Data'!$E$2:$E$410,'Raw Data'!$B$2:$B$410,A211)</f>
        <v>107.99</v>
      </c>
      <c r="E211" s="5" t="str">
        <f>INDEX('Raw Data'!$A$2:$A$410,MATCH(1,INDEX(('Raw Data'!$B$2:$B$410=A211)*('Raw Data'!$E$2:$E$410=D211),0),0))</f>
        <v>JB Spielwaren</v>
      </c>
      <c r="F211" s="7">
        <f>_xlfn.MAXIFS('Raw Data'!$E$2:$E$410,'Raw Data'!$B$2:$B$410,A211)</f>
        <v>143.71</v>
      </c>
      <c r="G211" s="5" t="str">
        <f>INDEX('Raw Data'!$A$2:$A$410,MATCH(1,INDEX(('Raw Data'!$B$2:$B$410=A211)*('Raw Data'!$E$2:$E$410=F211),0),0))</f>
        <v>bricksdirect</v>
      </c>
      <c r="H211" s="7">
        <f t="shared" si="3"/>
        <v>35.720000000000013</v>
      </c>
      <c r="I211" s="5">
        <f>COUNTIF('Raw Data'!$B$2:$B$410,A211)</f>
        <v>2</v>
      </c>
    </row>
    <row r="212" spans="1:9" hidden="1" x14ac:dyDescent="0.35">
      <c r="A212" s="5">
        <v>75431</v>
      </c>
      <c r="B212" s="6" t="str">
        <f>INDEX('Raw Data'!$D$2:$D$410,MATCH(A212,'Raw Data'!$B$2:$B$410,0))</f>
        <v>LEGO 75431 327th Star Corps Clone Troopers Battle Pack</v>
      </c>
      <c r="C212" s="5" t="str">
        <f>INDEX('Raw Data'!$C$2:$C$410,MATCH(A212,'Raw Data'!$B$2:$B$410,0))</f>
        <v>Lego Star Wars</v>
      </c>
      <c r="D212" s="7">
        <f>_xlfn.MINIFS('Raw Data'!$E$2:$E$410,'Raw Data'!$B$2:$B$410,A212)</f>
        <v>44.21</v>
      </c>
      <c r="E212" s="5" t="str">
        <f>INDEX('Raw Data'!$A$2:$A$410,MATCH(1,INDEX(('Raw Data'!$B$2:$B$410=A212)*('Raw Data'!$E$2:$E$410=D212),0),0))</f>
        <v>bricksdirect</v>
      </c>
      <c r="F212" s="7">
        <f>_xlfn.MAXIFS('Raw Data'!$E$2:$E$410,'Raw Data'!$B$2:$B$410,A212)</f>
        <v>44.21</v>
      </c>
      <c r="G212" s="5" t="str">
        <f>INDEX('Raw Data'!$A$2:$A$410,MATCH(1,INDEX(('Raw Data'!$B$2:$B$410=A212)*('Raw Data'!$E$2:$E$410=F212),0),0))</f>
        <v>bricksdirect</v>
      </c>
      <c r="H212" s="7">
        <f t="shared" si="3"/>
        <v>0</v>
      </c>
      <c r="I212" s="5">
        <f>COUNTIF('Raw Data'!$B$2:$B$410,A212)</f>
        <v>1</v>
      </c>
    </row>
    <row r="213" spans="1:9" hidden="1" x14ac:dyDescent="0.35">
      <c r="A213" s="5">
        <v>75432</v>
      </c>
      <c r="B213" s="6" t="str">
        <f>INDEX('Raw Data'!$D$2:$D$410,MATCH(A213,'Raw Data'!$B$2:$B$410,0))</f>
        <v>LEGO 75432 V-19 Torrent Starfighter</v>
      </c>
      <c r="C213" s="5" t="str">
        <f>INDEX('Raw Data'!$C$2:$C$410,MATCH(A213,'Raw Data'!$B$2:$B$410,0))</f>
        <v>Lego Star Wars</v>
      </c>
      <c r="D213" s="7">
        <f>_xlfn.MINIFS('Raw Data'!$E$2:$E$410,'Raw Data'!$B$2:$B$410,A213)</f>
        <v>71.849999999999994</v>
      </c>
      <c r="E213" s="5" t="str">
        <f>INDEX('Raw Data'!$A$2:$A$410,MATCH(1,INDEX(('Raw Data'!$B$2:$B$410=A213)*('Raw Data'!$E$2:$E$410=D213),0),0))</f>
        <v>bricksdirect</v>
      </c>
      <c r="F213" s="7">
        <f>_xlfn.MAXIFS('Raw Data'!$E$2:$E$410,'Raw Data'!$B$2:$B$410,A213)</f>
        <v>71.849999999999994</v>
      </c>
      <c r="G213" s="5" t="str">
        <f>INDEX('Raw Data'!$A$2:$A$410,MATCH(1,INDEX(('Raw Data'!$B$2:$B$410=A213)*('Raw Data'!$E$2:$E$410=F213),0),0))</f>
        <v>bricksdirect</v>
      </c>
      <c r="H213" s="7">
        <f t="shared" si="3"/>
        <v>0</v>
      </c>
      <c r="I213" s="5">
        <f>COUNTIF('Raw Data'!$B$2:$B$410,A213)</f>
        <v>1</v>
      </c>
    </row>
    <row r="214" spans="1:9" hidden="1" x14ac:dyDescent="0.35">
      <c r="A214" s="5">
        <v>75433</v>
      </c>
      <c r="B214" s="6" t="str">
        <f>INDEX('Raw Data'!$D$2:$D$410,MATCH(A214,'Raw Data'!$B$2:$B$410,0))</f>
        <v>LEGO 75433 Jango Fett’s Starship</v>
      </c>
      <c r="C214" s="5" t="str">
        <f>INDEX('Raw Data'!$C$2:$C$410,MATCH(A214,'Raw Data'!$B$2:$B$410,0))</f>
        <v>Lego Star Wars</v>
      </c>
      <c r="D214" s="7">
        <f>_xlfn.MINIFS('Raw Data'!$E$2:$E$410,'Raw Data'!$B$2:$B$410,A214)</f>
        <v>61.9</v>
      </c>
      <c r="E214" s="5" t="str">
        <f>INDEX('Raw Data'!$A$2:$A$410,MATCH(1,INDEX(('Raw Data'!$B$2:$B$410=A214)*('Raw Data'!$E$2:$E$410=D214),0),0))</f>
        <v>bricksdirect</v>
      </c>
      <c r="F214" s="7">
        <f>_xlfn.MAXIFS('Raw Data'!$E$2:$E$410,'Raw Data'!$B$2:$B$410,A214)</f>
        <v>61.9</v>
      </c>
      <c r="G214" s="5" t="str">
        <f>INDEX('Raw Data'!$A$2:$A$410,MATCH(1,INDEX(('Raw Data'!$B$2:$B$410=A214)*('Raw Data'!$E$2:$E$410=F214),0),0))</f>
        <v>bricksdirect</v>
      </c>
      <c r="H214" s="7">
        <f t="shared" si="3"/>
        <v>0</v>
      </c>
      <c r="I214" s="5">
        <f>COUNTIF('Raw Data'!$B$2:$B$410,A214)</f>
        <v>1</v>
      </c>
    </row>
    <row r="215" spans="1:9" hidden="1" x14ac:dyDescent="0.35">
      <c r="A215" s="5">
        <v>75434</v>
      </c>
      <c r="B215" s="6" t="str">
        <f>INDEX('Raw Data'!$D$2:$D$410,MATCH(A215,'Raw Data'!$B$2:$B$410,0))</f>
        <v>LEGO 75434 K-2SO Security Droid</v>
      </c>
      <c r="C215" s="5" t="str">
        <f>INDEX('Raw Data'!$C$2:$C$410,MATCH(A215,'Raw Data'!$B$2:$B$410,0))</f>
        <v>Lego Star Wars</v>
      </c>
      <c r="D215" s="7">
        <f>_xlfn.MINIFS('Raw Data'!$E$2:$E$410,'Raw Data'!$B$2:$B$410,A215)</f>
        <v>99.49</v>
      </c>
      <c r="E215" s="5" t="str">
        <f>INDEX('Raw Data'!$A$2:$A$410,MATCH(1,INDEX(('Raw Data'!$B$2:$B$410=A215)*('Raw Data'!$E$2:$E$410=D215),0),0))</f>
        <v>bricksdirect</v>
      </c>
      <c r="F215" s="7">
        <f>_xlfn.MAXIFS('Raw Data'!$E$2:$E$410,'Raw Data'!$B$2:$B$410,A215)</f>
        <v>99.49</v>
      </c>
      <c r="G215" s="5" t="str">
        <f>INDEX('Raw Data'!$A$2:$A$410,MATCH(1,INDEX(('Raw Data'!$B$2:$B$410=A215)*('Raw Data'!$E$2:$E$410=F215),0),0))</f>
        <v>bricksdirect</v>
      </c>
      <c r="H215" s="7">
        <f t="shared" si="3"/>
        <v>0</v>
      </c>
      <c r="I215" s="5">
        <f>COUNTIF('Raw Data'!$B$2:$B$410,A215)</f>
        <v>1</v>
      </c>
    </row>
    <row r="216" spans="1:9" x14ac:dyDescent="0.35">
      <c r="A216" s="5">
        <v>75435</v>
      </c>
      <c r="B216" s="6" t="str">
        <f>INDEX('Raw Data'!$D$2:$D$410,MATCH(A216,'Raw Data'!$B$2:$B$410,0))</f>
        <v>LEGO 75435 Battle of Felucia Separatist MTT</v>
      </c>
      <c r="C216" s="5" t="str">
        <f>INDEX('Raw Data'!$C$2:$C$410,MATCH(A216,'Raw Data'!$B$2:$B$410,0))</f>
        <v>Lego Star Wars</v>
      </c>
      <c r="D216" s="7">
        <f>_xlfn.MINIFS('Raw Data'!$E$2:$E$410,'Raw Data'!$B$2:$B$410,A216)</f>
        <v>127.49</v>
      </c>
      <c r="E216" s="5" t="str">
        <f>INDEX('Raw Data'!$A$2:$A$410,MATCH(1,INDEX(('Raw Data'!$B$2:$B$410=A216)*('Raw Data'!$E$2:$E$410=D216),0),0))</f>
        <v>JB Spielwaren</v>
      </c>
      <c r="F216" s="7">
        <f>_xlfn.MAXIFS('Raw Data'!$E$2:$E$410,'Raw Data'!$B$2:$B$410,A216)</f>
        <v>137.07</v>
      </c>
      <c r="G216" s="5" t="str">
        <f>INDEX('Raw Data'!$A$2:$A$410,MATCH(1,INDEX(('Raw Data'!$B$2:$B$410=A216)*('Raw Data'!$E$2:$E$410=F216),0),0))</f>
        <v>bricksdirect</v>
      </c>
      <c r="H216" s="7">
        <f t="shared" si="3"/>
        <v>9.5799999999999983</v>
      </c>
      <c r="I216" s="5">
        <f>COUNTIF('Raw Data'!$B$2:$B$410,A216)</f>
        <v>2</v>
      </c>
    </row>
    <row r="217" spans="1:9" x14ac:dyDescent="0.35">
      <c r="A217" s="5">
        <v>75436</v>
      </c>
      <c r="B217" s="6" t="str">
        <f>INDEX('Raw Data'!$D$2:$D$410,MATCH(A217,'Raw Data'!$B$2:$B$410,0))</f>
        <v>LEGO 75436 The Mandalorian &amp; Grogu’s Speeder Bike</v>
      </c>
      <c r="C217" s="5" t="str">
        <f>INDEX('Raw Data'!$C$2:$C$410,MATCH(A217,'Raw Data'!$B$2:$B$410,0))</f>
        <v>Lego Star Wars</v>
      </c>
      <c r="D217" s="7">
        <f>_xlfn.MINIFS('Raw Data'!$E$2:$E$410,'Raw Data'!$B$2:$B$410,A217)</f>
        <v>8.49</v>
      </c>
      <c r="E217" s="5" t="str">
        <f>INDEX('Raw Data'!$A$2:$A$410,MATCH(1,INDEX(('Raw Data'!$B$2:$B$410=A217)*('Raw Data'!$E$2:$E$410=D217),0),0))</f>
        <v>JB Spielwaren</v>
      </c>
      <c r="F217" s="7">
        <f>_xlfn.MAXIFS('Raw Data'!$E$2:$E$410,'Raw Data'!$B$2:$B$410,A217)</f>
        <v>11.04</v>
      </c>
      <c r="G217" s="5" t="str">
        <f>INDEX('Raw Data'!$A$2:$A$410,MATCH(1,INDEX(('Raw Data'!$B$2:$B$410=A217)*('Raw Data'!$E$2:$E$410=F217),0),0))</f>
        <v>bricksdirect</v>
      </c>
      <c r="H217" s="7">
        <f t="shared" si="3"/>
        <v>2.5499999999999989</v>
      </c>
      <c r="I217" s="5">
        <f>COUNTIF('Raw Data'!$B$2:$B$410,A217)</f>
        <v>2</v>
      </c>
    </row>
    <row r="218" spans="1:9" x14ac:dyDescent="0.35">
      <c r="A218" s="5">
        <v>75437</v>
      </c>
      <c r="B218" s="6" t="str">
        <f>INDEX('Raw Data'!$D$2:$D$410,MATCH(A218,'Raw Data'!$B$2:$B$410,0))</f>
        <v>LEGO 75437 Cobb Vanth’s Speeder</v>
      </c>
      <c r="C218" s="5" t="str">
        <f>INDEX('Raw Data'!$C$2:$C$410,MATCH(A218,'Raw Data'!$B$2:$B$410,0))</f>
        <v>Lego Star Wars</v>
      </c>
      <c r="D218" s="7">
        <f>_xlfn.MINIFS('Raw Data'!$E$2:$E$410,'Raw Data'!$B$2:$B$410,A218)</f>
        <v>25.49</v>
      </c>
      <c r="E218" s="5" t="str">
        <f>INDEX('Raw Data'!$A$2:$A$410,MATCH(1,INDEX(('Raw Data'!$B$2:$B$410=A218)*('Raw Data'!$E$2:$E$410=D218),0),0))</f>
        <v>JB Spielwaren</v>
      </c>
      <c r="F218" s="7">
        <f>_xlfn.MAXIFS('Raw Data'!$E$2:$E$410,'Raw Data'!$B$2:$B$410,A218)</f>
        <v>29.27</v>
      </c>
      <c r="G218" s="5" t="str">
        <f>INDEX('Raw Data'!$A$2:$A$410,MATCH(1,INDEX(('Raw Data'!$B$2:$B$410=A218)*('Raw Data'!$E$2:$E$410=F218),0),0))</f>
        <v>Zavvi</v>
      </c>
      <c r="H218" s="7">
        <f t="shared" si="3"/>
        <v>3.7800000000000011</v>
      </c>
      <c r="I218" s="5">
        <f>COUNTIF('Raw Data'!$B$2:$B$410,A218)</f>
        <v>3</v>
      </c>
    </row>
    <row r="219" spans="1:9" x14ac:dyDescent="0.35">
      <c r="A219" s="5">
        <v>75438</v>
      </c>
      <c r="B219" s="6" t="str">
        <f>INDEX('Raw Data'!$D$2:$D$410,MATCH(A219,'Raw Data'!$B$2:$B$410,0))</f>
        <v>LEGO Star Wars 75438 Yoda Bust 75438</v>
      </c>
      <c r="C219" s="5" t="str">
        <f>INDEX('Raw Data'!$C$2:$C$410,MATCH(A219,'Raw Data'!$B$2:$B$410,0))</f>
        <v>Lego Star Wars</v>
      </c>
      <c r="D219" s="7">
        <f>_xlfn.MINIFS('Raw Data'!$E$2:$E$410,'Raw Data'!$B$2:$B$410,A219)</f>
        <v>31.72</v>
      </c>
      <c r="E219" s="5" t="str">
        <f>INDEX('Raw Data'!$A$2:$A$410,MATCH(1,INDEX(('Raw Data'!$B$2:$B$410=A219)*('Raw Data'!$E$2:$E$410=D219),0),0))</f>
        <v>Brickmo</v>
      </c>
      <c r="F219" s="7">
        <f>_xlfn.MAXIFS('Raw Data'!$E$2:$E$410,'Raw Data'!$B$2:$B$410,A219)</f>
        <v>37.58</v>
      </c>
      <c r="G219" s="5" t="str">
        <f>INDEX('Raw Data'!$A$2:$A$410,MATCH(1,INDEX(('Raw Data'!$B$2:$B$410=A219)*('Raw Data'!$E$2:$E$410=F219),0),0))</f>
        <v>bricksdirect</v>
      </c>
      <c r="H219" s="7">
        <f t="shared" si="3"/>
        <v>5.8599999999999994</v>
      </c>
      <c r="I219" s="5">
        <f>COUNTIF('Raw Data'!$B$2:$B$410,A219)</f>
        <v>3</v>
      </c>
    </row>
    <row r="220" spans="1:9" x14ac:dyDescent="0.35">
      <c r="A220" s="5">
        <v>75439</v>
      </c>
      <c r="B220" s="6" t="str">
        <f>INDEX('Raw Data'!$D$2:$D$410,MATCH(A220,'Raw Data'!$B$2:$B$410,0))</f>
        <v>LEGO Star Wars 75439 Darth Vader Bust 75439</v>
      </c>
      <c r="C220" s="5" t="str">
        <f>INDEX('Raw Data'!$C$2:$C$410,MATCH(A220,'Raw Data'!$B$2:$B$410,0))</f>
        <v>Lego Star Wars</v>
      </c>
      <c r="D220" s="7">
        <f>_xlfn.MINIFS('Raw Data'!$E$2:$E$410,'Raw Data'!$B$2:$B$410,A220)</f>
        <v>39.92</v>
      </c>
      <c r="E220" s="5" t="str">
        <f>INDEX('Raw Data'!$A$2:$A$410,MATCH(1,INDEX(('Raw Data'!$B$2:$B$410=A220)*('Raw Data'!$E$2:$E$410=D220),0),0))</f>
        <v>Brickmo</v>
      </c>
      <c r="F220" s="7">
        <f>_xlfn.MAXIFS('Raw Data'!$E$2:$E$410,'Raw Data'!$B$2:$B$410,A220)</f>
        <v>47.53</v>
      </c>
      <c r="G220" s="5" t="str">
        <f>INDEX('Raw Data'!$A$2:$A$410,MATCH(1,INDEX(('Raw Data'!$B$2:$B$410=A220)*('Raw Data'!$E$2:$E$410=F220),0),0))</f>
        <v>bricksdirect</v>
      </c>
      <c r="H220" s="7">
        <f t="shared" si="3"/>
        <v>7.6099999999999994</v>
      </c>
      <c r="I220" s="5">
        <f>COUNTIF('Raw Data'!$B$2:$B$410,A220)</f>
        <v>3</v>
      </c>
    </row>
    <row r="221" spans="1:9" x14ac:dyDescent="0.35">
      <c r="A221" s="5">
        <v>75440</v>
      </c>
      <c r="B221" s="6" t="str">
        <f>INDEX('Raw Data'!$D$2:$D$410,MATCH(A221,'Raw Data'!$B$2:$B$410,0))</f>
        <v>LEGO 75440 AT-AT</v>
      </c>
      <c r="C221" s="5" t="str">
        <f>INDEX('Raw Data'!$C$2:$C$410,MATCH(A221,'Raw Data'!$B$2:$B$410,0))</f>
        <v>Lego Star Wars</v>
      </c>
      <c r="D221" s="7">
        <f>_xlfn.MINIFS('Raw Data'!$E$2:$E$410,'Raw Data'!$B$2:$B$410,A221)</f>
        <v>55.24</v>
      </c>
      <c r="E221" s="5" t="str">
        <f>INDEX('Raw Data'!$A$2:$A$410,MATCH(1,INDEX(('Raw Data'!$B$2:$B$410=A221)*('Raw Data'!$E$2:$E$410=D221),0),0))</f>
        <v>JB Spielwaren</v>
      </c>
      <c r="F221" s="7">
        <f>_xlfn.MAXIFS('Raw Data'!$E$2:$E$410,'Raw Data'!$B$2:$B$410,A221)</f>
        <v>61.9</v>
      </c>
      <c r="G221" s="5" t="str">
        <f>INDEX('Raw Data'!$A$2:$A$410,MATCH(1,INDEX(('Raw Data'!$B$2:$B$410=A221)*('Raw Data'!$E$2:$E$410=F221),0),0))</f>
        <v>bricksdirect</v>
      </c>
      <c r="H221" s="7">
        <f t="shared" si="3"/>
        <v>6.6599999999999966</v>
      </c>
      <c r="I221" s="5">
        <f>COUNTIF('Raw Data'!$B$2:$B$410,A221)</f>
        <v>2</v>
      </c>
    </row>
    <row r="222" spans="1:9" x14ac:dyDescent="0.35">
      <c r="A222" s="5">
        <v>75441</v>
      </c>
      <c r="B222" s="6" t="str">
        <f>INDEX('Raw Data'!$D$2:$D$410,MATCH(A222,'Raw Data'!$B$2:$B$410,0))</f>
        <v>LEGO 75441 Venator-Class Attack Cruiser</v>
      </c>
      <c r="C222" s="5" t="str">
        <f>INDEX('Raw Data'!$C$2:$C$410,MATCH(A222,'Raw Data'!$B$2:$B$410,0))</f>
        <v>Lego Star Wars</v>
      </c>
      <c r="D222" s="7">
        <f>_xlfn.MINIFS('Raw Data'!$E$2:$E$410,'Raw Data'!$B$2:$B$410,A222)</f>
        <v>63.99</v>
      </c>
      <c r="E222" s="5" t="str">
        <f>INDEX('Raw Data'!$A$2:$A$410,MATCH(1,INDEX(('Raw Data'!$B$2:$B$410=A222)*('Raw Data'!$E$2:$E$410=D222),0),0))</f>
        <v>JB Spielwaren</v>
      </c>
      <c r="F222" s="7">
        <f>_xlfn.MAXIFS('Raw Data'!$E$2:$E$410,'Raw Data'!$B$2:$B$410,A222)</f>
        <v>75.17</v>
      </c>
      <c r="G222" s="5" t="str">
        <f>INDEX('Raw Data'!$A$2:$A$410,MATCH(1,INDEX(('Raw Data'!$B$2:$B$410=A222)*('Raw Data'!$E$2:$E$410=F222),0),0))</f>
        <v>bricksdirect</v>
      </c>
      <c r="H222" s="7">
        <f t="shared" si="3"/>
        <v>11.18</v>
      </c>
      <c r="I222" s="5">
        <f>COUNTIF('Raw Data'!$B$2:$B$410,A222)</f>
        <v>2</v>
      </c>
    </row>
    <row r="223" spans="1:9" x14ac:dyDescent="0.35">
      <c r="A223" s="5">
        <v>75442</v>
      </c>
      <c r="B223" s="6" t="str">
        <f>INDEX('Raw Data'!$D$2:$D$410,MATCH(A223,'Raw Data'!$B$2:$B$410,0))</f>
        <v>LEGO 75442 The Mandalorian’s N-1 Starfighter</v>
      </c>
      <c r="C223" s="5" t="str">
        <f>INDEX('Raw Data'!$C$2:$C$410,MATCH(A223,'Raw Data'!$B$2:$B$410,0))</f>
        <v>Lego Star Wars</v>
      </c>
      <c r="D223" s="7">
        <f>_xlfn.MINIFS('Raw Data'!$E$2:$E$410,'Raw Data'!$B$2:$B$410,A223)</f>
        <v>249.99</v>
      </c>
      <c r="E223" s="5" t="str">
        <f>INDEX('Raw Data'!$A$2:$A$410,MATCH(1,INDEX(('Raw Data'!$B$2:$B$410=A223)*('Raw Data'!$E$2:$E$410=D223),0),0))</f>
        <v>JB Spielwaren</v>
      </c>
      <c r="F223" s="7">
        <f>_xlfn.MAXIFS('Raw Data'!$E$2:$E$410,'Raw Data'!$B$2:$B$410,A223)</f>
        <v>309.52999999999997</v>
      </c>
      <c r="G223" s="5" t="str">
        <f>INDEX('Raw Data'!$A$2:$A$410,MATCH(1,INDEX(('Raw Data'!$B$2:$B$410=A223)*('Raw Data'!$E$2:$E$410=F223),0),0))</f>
        <v>bricksdirect</v>
      </c>
      <c r="H223" s="7">
        <f t="shared" si="3"/>
        <v>59.539999999999964</v>
      </c>
      <c r="I223" s="5">
        <f>COUNTIF('Raw Data'!$B$2:$B$410,A223)</f>
        <v>2</v>
      </c>
    </row>
    <row r="224" spans="1:9" x14ac:dyDescent="0.35">
      <c r="A224" s="5">
        <v>75443</v>
      </c>
      <c r="B224" s="6" t="str">
        <f>INDEX('Raw Data'!$D$2:$D$410,MATCH(A224,'Raw Data'!$B$2:$B$410,0))</f>
        <v>LEGO 75443 Grogu’s Homestead</v>
      </c>
      <c r="C224" s="5" t="str">
        <f>INDEX('Raw Data'!$C$2:$C$410,MATCH(A224,'Raw Data'!$B$2:$B$410,0))</f>
        <v>Lego Star Wars</v>
      </c>
      <c r="D224" s="7">
        <f>_xlfn.MINIFS('Raw Data'!$E$2:$E$410,'Raw Data'!$B$2:$B$410,A224)</f>
        <v>16.989999999999998</v>
      </c>
      <c r="E224" s="5" t="str">
        <f>INDEX('Raw Data'!$A$2:$A$410,MATCH(1,INDEX(('Raw Data'!$B$2:$B$410=A224)*('Raw Data'!$E$2:$E$410=D224),0),0))</f>
        <v>JB Spielwaren</v>
      </c>
      <c r="F224" s="7">
        <f>_xlfn.MAXIFS('Raw Data'!$E$2:$E$410,'Raw Data'!$B$2:$B$410,A224)</f>
        <v>21.07</v>
      </c>
      <c r="G224" s="5" t="str">
        <f>INDEX('Raw Data'!$A$2:$A$410,MATCH(1,INDEX(('Raw Data'!$B$2:$B$410=A224)*('Raw Data'!$E$2:$E$410=F224),0),0))</f>
        <v>Zavvi</v>
      </c>
      <c r="H224" s="7">
        <f t="shared" si="3"/>
        <v>4.0800000000000018</v>
      </c>
      <c r="I224" s="5">
        <f>COUNTIF('Raw Data'!$B$2:$B$410,A224)</f>
        <v>3</v>
      </c>
    </row>
    <row r="225" spans="1:9" x14ac:dyDescent="0.35">
      <c r="A225" s="5">
        <v>75444</v>
      </c>
      <c r="B225" s="6" t="str">
        <f>INDEX('Raw Data'!$D$2:$D$410,MATCH(A225,'Raw Data'!$B$2:$B$410,0))</f>
        <v>LEGO 75444 AT-RT Attack</v>
      </c>
      <c r="C225" s="5" t="str">
        <f>INDEX('Raw Data'!$C$2:$C$410,MATCH(A225,'Raw Data'!$B$2:$B$410,0))</f>
        <v>Lego Star Wars</v>
      </c>
      <c r="D225" s="7">
        <f>_xlfn.MINIFS('Raw Data'!$E$2:$E$410,'Raw Data'!$B$2:$B$410,A225)</f>
        <v>38.24</v>
      </c>
      <c r="E225" s="5" t="str">
        <f>INDEX('Raw Data'!$A$2:$A$410,MATCH(1,INDEX(('Raw Data'!$B$2:$B$410=A225)*('Raw Data'!$E$2:$E$410=D225),0),0))</f>
        <v>JB Spielwaren</v>
      </c>
      <c r="F225" s="7">
        <f>_xlfn.MAXIFS('Raw Data'!$E$2:$E$410,'Raw Data'!$B$2:$B$410,A225)</f>
        <v>43.1</v>
      </c>
      <c r="G225" s="5" t="str">
        <f>INDEX('Raw Data'!$A$2:$A$410,MATCH(1,INDEX(('Raw Data'!$B$2:$B$410=A225)*('Raw Data'!$E$2:$E$410=F225),0),0))</f>
        <v>bricksdirect</v>
      </c>
      <c r="H225" s="7">
        <f t="shared" si="3"/>
        <v>4.8599999999999994</v>
      </c>
      <c r="I225" s="5">
        <f>COUNTIF('Raw Data'!$B$2:$B$410,A225)</f>
        <v>2</v>
      </c>
    </row>
    <row r="226" spans="1:9" x14ac:dyDescent="0.35">
      <c r="A226" s="5">
        <v>75445</v>
      </c>
      <c r="B226" s="6" t="str">
        <f>INDEX('Raw Data'!$D$2:$D$410,MATCH(A226,'Raw Data'!$B$2:$B$410,0))</f>
        <v>LEGO Star Wars 75445 Anzellan Starship 75445</v>
      </c>
      <c r="C226" s="5" t="str">
        <f>INDEX('Raw Data'!$C$2:$C$410,MATCH(A226,'Raw Data'!$B$2:$B$410,0))</f>
        <v>Lego Star Wars</v>
      </c>
      <c r="D226" s="7">
        <f>_xlfn.MINIFS('Raw Data'!$E$2:$E$410,'Raw Data'!$B$2:$B$410,A226)</f>
        <v>60.42</v>
      </c>
      <c r="E226" s="5" t="str">
        <f>INDEX('Raw Data'!$A$2:$A$410,MATCH(1,INDEX(('Raw Data'!$B$2:$B$410=A226)*('Raw Data'!$E$2:$E$410=D226),0),0))</f>
        <v>Brickmo</v>
      </c>
      <c r="F226" s="7">
        <f>_xlfn.MAXIFS('Raw Data'!$E$2:$E$410,'Raw Data'!$B$2:$B$410,A226)</f>
        <v>70.739999999999995</v>
      </c>
      <c r="G226" s="5" t="str">
        <f>INDEX('Raw Data'!$A$2:$A$410,MATCH(1,INDEX(('Raw Data'!$B$2:$B$410=A226)*('Raw Data'!$E$2:$E$410=F226),0),0))</f>
        <v>bricksdirect</v>
      </c>
      <c r="H226" s="7">
        <f t="shared" si="3"/>
        <v>10.319999999999993</v>
      </c>
      <c r="I226" s="5">
        <f>COUNTIF('Raw Data'!$B$2:$B$410,A226)</f>
        <v>3</v>
      </c>
    </row>
    <row r="227" spans="1:9" x14ac:dyDescent="0.35">
      <c r="A227" s="5">
        <v>75446</v>
      </c>
      <c r="B227" s="6" t="str">
        <f>INDEX('Raw Data'!$D$2:$D$410,MATCH(A227,'Raw Data'!$B$2:$B$410,0))</f>
        <v>LEGO Star Wars 75446 Grogu (Mandalorian...</v>
      </c>
      <c r="C227" s="5" t="str">
        <f>INDEX('Raw Data'!$C$2:$C$410,MATCH(A227,'Raw Data'!$B$2:$B$410,0))</f>
        <v>Lego Star Wars</v>
      </c>
      <c r="D227" s="7">
        <f>_xlfn.MINIFS('Raw Data'!$E$2:$E$410,'Raw Data'!$B$2:$B$410,A227)</f>
        <v>107.06</v>
      </c>
      <c r="E227" s="5" t="str">
        <f>INDEX('Raw Data'!$A$2:$A$410,MATCH(1,INDEX(('Raw Data'!$B$2:$B$410=A227)*('Raw Data'!$E$2:$E$410=D227),0),0))</f>
        <v>Brickmo</v>
      </c>
      <c r="F227" s="7">
        <f>_xlfn.MAXIFS('Raw Data'!$E$2:$E$410,'Raw Data'!$B$2:$B$410,A227)</f>
        <v>122.71</v>
      </c>
      <c r="G227" s="5" t="str">
        <f>INDEX('Raw Data'!$A$2:$A$410,MATCH(1,INDEX(('Raw Data'!$B$2:$B$410=A227)*('Raw Data'!$E$2:$E$410=F227),0),0))</f>
        <v>bricksdirect</v>
      </c>
      <c r="H227" s="7">
        <f t="shared" si="3"/>
        <v>15.649999999999991</v>
      </c>
      <c r="I227" s="5">
        <f>COUNTIF('Raw Data'!$B$2:$B$410,A227)</f>
        <v>3</v>
      </c>
    </row>
    <row r="228" spans="1:9" x14ac:dyDescent="0.35">
      <c r="A228" s="5">
        <v>75447</v>
      </c>
      <c r="B228" s="6" t="str">
        <f>INDEX('Raw Data'!$D$2:$D$410,MATCH(A228,'Raw Data'!$B$2:$B$410,0))</f>
        <v>LEGO 75447 The Razor Crest</v>
      </c>
      <c r="C228" s="5" t="str">
        <f>INDEX('Raw Data'!$C$2:$C$410,MATCH(A228,'Raw Data'!$B$2:$B$410,0))</f>
        <v>Lego Star Wars</v>
      </c>
      <c r="D228" s="7">
        <f>_xlfn.MINIFS('Raw Data'!$E$2:$E$410,'Raw Data'!$B$2:$B$410,A228)</f>
        <v>127.49</v>
      </c>
      <c r="E228" s="5" t="str">
        <f>INDEX('Raw Data'!$A$2:$A$410,MATCH(1,INDEX(('Raw Data'!$B$2:$B$410=A228)*('Raw Data'!$E$2:$E$410=D228),0),0))</f>
        <v>JB Spielwaren</v>
      </c>
      <c r="F228" s="7">
        <f>_xlfn.MAXIFS('Raw Data'!$E$2:$E$410,'Raw Data'!$B$2:$B$410,A228)</f>
        <v>141.49</v>
      </c>
      <c r="G228" s="5" t="str">
        <f>INDEX('Raw Data'!$A$2:$A$410,MATCH(1,INDEX(('Raw Data'!$B$2:$B$410=A228)*('Raw Data'!$E$2:$E$410=F228),0),0))</f>
        <v>bricksdirect</v>
      </c>
      <c r="H228" s="7">
        <f t="shared" si="3"/>
        <v>14.000000000000014</v>
      </c>
      <c r="I228" s="5">
        <f>COUNTIF('Raw Data'!$B$2:$B$410,A228)</f>
        <v>2</v>
      </c>
    </row>
    <row r="229" spans="1:9" x14ac:dyDescent="0.35">
      <c r="A229" s="5">
        <v>75448</v>
      </c>
      <c r="B229" s="6" t="str">
        <f>INDEX('Raw Data'!$D$2:$D$410,MATCH(A229,'Raw Data'!$B$2:$B$410,0))</f>
        <v>LEGO 75448 Clone Shock Trooper Mech</v>
      </c>
      <c r="C229" s="5" t="str">
        <f>INDEX('Raw Data'!$C$2:$C$410,MATCH(A229,'Raw Data'!$B$2:$B$410,0))</f>
        <v>Lego Star Wars</v>
      </c>
      <c r="D229" s="7">
        <f>_xlfn.MINIFS('Raw Data'!$E$2:$E$410,'Raw Data'!$B$2:$B$410,A229)</f>
        <v>12.74</v>
      </c>
      <c r="E229" s="5" t="str">
        <f>INDEX('Raw Data'!$A$2:$A$410,MATCH(1,INDEX(('Raw Data'!$B$2:$B$410=A229)*('Raw Data'!$E$2:$E$410=D229),0),0))</f>
        <v>JB Spielwaren</v>
      </c>
      <c r="F229" s="7">
        <f>_xlfn.MAXIFS('Raw Data'!$E$2:$E$410,'Raw Data'!$B$2:$B$410,A229)</f>
        <v>16.57</v>
      </c>
      <c r="G229" s="5" t="str">
        <f>INDEX('Raw Data'!$A$2:$A$410,MATCH(1,INDEX(('Raw Data'!$B$2:$B$410=A229)*('Raw Data'!$E$2:$E$410=F229),0),0))</f>
        <v>bricksdirect</v>
      </c>
      <c r="H229" s="7">
        <f t="shared" si="3"/>
        <v>3.83</v>
      </c>
      <c r="I229" s="5">
        <f>COUNTIF('Raw Data'!$B$2:$B$410,A229)</f>
        <v>3</v>
      </c>
    </row>
    <row r="230" spans="1:9" x14ac:dyDescent="0.35">
      <c r="A230" s="5">
        <v>75449</v>
      </c>
      <c r="B230" s="6" t="str">
        <f>INDEX('Raw Data'!$D$2:$D$410,MATCH(A230,'Raw Data'!$B$2:$B$410,0))</f>
        <v>LEGO 75449 Siege of Mandalore Battle Pack</v>
      </c>
      <c r="C230" s="5" t="str">
        <f>INDEX('Raw Data'!$C$2:$C$410,MATCH(A230,'Raw Data'!$B$2:$B$410,0))</f>
        <v>Lego Star Wars</v>
      </c>
      <c r="D230" s="7">
        <f>_xlfn.MINIFS('Raw Data'!$E$2:$E$410,'Raw Data'!$B$2:$B$410,A230)</f>
        <v>16.989999999999998</v>
      </c>
      <c r="E230" s="5" t="str">
        <f>INDEX('Raw Data'!$A$2:$A$410,MATCH(1,INDEX(('Raw Data'!$B$2:$B$410=A230)*('Raw Data'!$E$2:$E$410=D230),0),0))</f>
        <v>JB Spielwaren</v>
      </c>
      <c r="F230" s="7">
        <f>_xlfn.MAXIFS('Raw Data'!$E$2:$E$410,'Raw Data'!$B$2:$B$410,A230)</f>
        <v>22.1</v>
      </c>
      <c r="G230" s="5" t="str">
        <f>INDEX('Raw Data'!$A$2:$A$410,MATCH(1,INDEX(('Raw Data'!$B$2:$B$410=A230)*('Raw Data'!$E$2:$E$410=F230),0),0))</f>
        <v>bricksdirect</v>
      </c>
      <c r="H230" s="7">
        <f t="shared" si="3"/>
        <v>5.110000000000003</v>
      </c>
      <c r="I230" s="5">
        <f>COUNTIF('Raw Data'!$B$2:$B$410,A230)</f>
        <v>3</v>
      </c>
    </row>
    <row r="231" spans="1:9" x14ac:dyDescent="0.35">
      <c r="A231" s="5">
        <v>75451</v>
      </c>
      <c r="B231" s="6" t="str">
        <f>INDEX('Raw Data'!$D$2:$D$410,MATCH(A231,'Raw Data'!$B$2:$B$410,0))</f>
        <v>LEGO Star Wars 75451 Hutt Palace Sentry Droid...</v>
      </c>
      <c r="C231" s="5" t="str">
        <f>INDEX('Raw Data'!$C$2:$C$410,MATCH(A231,'Raw Data'!$B$2:$B$410,0))</f>
        <v>Lego Star Wars</v>
      </c>
      <c r="D231" s="7">
        <f>_xlfn.MINIFS('Raw Data'!$E$2:$E$410,'Raw Data'!$B$2:$B$410,A231)</f>
        <v>39.36</v>
      </c>
      <c r="E231" s="5" t="str">
        <f>INDEX('Raw Data'!$A$2:$A$410,MATCH(1,INDEX(('Raw Data'!$B$2:$B$410=A231)*('Raw Data'!$E$2:$E$410=D231),0),0))</f>
        <v>Brickmo</v>
      </c>
      <c r="F231" s="7">
        <f>_xlfn.MAXIFS('Raw Data'!$E$2:$E$410,'Raw Data'!$B$2:$B$410,A231)</f>
        <v>47.53</v>
      </c>
      <c r="G231" s="5" t="str">
        <f>INDEX('Raw Data'!$A$2:$A$410,MATCH(1,INDEX(('Raw Data'!$B$2:$B$410=A231)*('Raw Data'!$E$2:$E$410=F231),0),0))</f>
        <v>bricksdirect</v>
      </c>
      <c r="H231" s="7">
        <f t="shared" si="3"/>
        <v>8.1700000000000017</v>
      </c>
      <c r="I231" s="5">
        <f>COUNTIF('Raw Data'!$B$2:$B$410,A231)</f>
        <v>3</v>
      </c>
    </row>
    <row r="232" spans="1:9" x14ac:dyDescent="0.35">
      <c r="A232" s="5">
        <v>75452</v>
      </c>
      <c r="B232" s="6" t="str">
        <f>INDEX('Raw Data'!$D$2:$D$410,MATCH(A232,'Raw Data'!$B$2:$B$410,0))</f>
        <v>LEGO 75452 BB-8 Astromech Droid</v>
      </c>
      <c r="C232" s="5" t="str">
        <f>INDEX('Raw Data'!$C$2:$C$410,MATCH(A232,'Raw Data'!$B$2:$B$410,0))</f>
        <v>Lego Star Wars</v>
      </c>
      <c r="D232" s="7">
        <f>_xlfn.MINIFS('Raw Data'!$E$2:$E$410,'Raw Data'!$B$2:$B$410,A232)</f>
        <v>62.99</v>
      </c>
      <c r="E232" s="5" t="str">
        <f>INDEX('Raw Data'!$A$2:$A$410,MATCH(1,INDEX(('Raw Data'!$B$2:$B$410=A232)*('Raw Data'!$E$2:$E$410=D232),0),0))</f>
        <v>JB Spielwaren</v>
      </c>
      <c r="F232" s="7">
        <f>_xlfn.MAXIFS('Raw Data'!$E$2:$E$410,'Raw Data'!$B$2:$B$410,A232)</f>
        <v>85.11</v>
      </c>
      <c r="G232" s="5" t="str">
        <f>INDEX('Raw Data'!$A$2:$A$410,MATCH(1,INDEX(('Raw Data'!$B$2:$B$410=A232)*('Raw Data'!$E$2:$E$410=F232),0),0))</f>
        <v>bricksdirect</v>
      </c>
      <c r="H232" s="7">
        <f t="shared" si="3"/>
        <v>22.119999999999997</v>
      </c>
      <c r="I232" s="5">
        <f>COUNTIF('Raw Data'!$B$2:$B$410,A232)</f>
        <v>2</v>
      </c>
    </row>
    <row r="233" spans="1:9" x14ac:dyDescent="0.35">
      <c r="A233" s="5">
        <v>75453</v>
      </c>
      <c r="B233" s="6" t="str">
        <f>INDEX('Raw Data'!$D$2:$D$410,MATCH(A233,'Raw Data'!$B$2:$B$410,0))</f>
        <v>LEGO Star Wars 75453 Offworld Sandcrawler and...</v>
      </c>
      <c r="C233" s="5" t="str">
        <f>INDEX('Raw Data'!$C$2:$C$410,MATCH(A233,'Raw Data'!$B$2:$B$410,0))</f>
        <v>Lego Star Wars</v>
      </c>
      <c r="D233" s="7">
        <f>_xlfn.MINIFS('Raw Data'!$E$2:$E$410,'Raw Data'!$B$2:$B$410,A233)</f>
        <v>163.95</v>
      </c>
      <c r="E233" s="5" t="str">
        <f>INDEX('Raw Data'!$A$2:$A$410,MATCH(1,INDEX(('Raw Data'!$B$2:$B$410=A233)*('Raw Data'!$E$2:$E$410=D233),0),0))</f>
        <v>Brickmo</v>
      </c>
      <c r="F233" s="7">
        <f>_xlfn.MAXIFS('Raw Data'!$E$2:$E$410,'Raw Data'!$B$2:$B$410,A233)</f>
        <v>187.93</v>
      </c>
      <c r="G233" s="5" t="str">
        <f>INDEX('Raw Data'!$A$2:$A$410,MATCH(1,INDEX(('Raw Data'!$B$2:$B$410=A233)*('Raw Data'!$E$2:$E$410=F233),0),0))</f>
        <v>bricksdirect</v>
      </c>
      <c r="H233" s="7">
        <f t="shared" si="3"/>
        <v>23.980000000000018</v>
      </c>
      <c r="I233" s="5">
        <f>COUNTIF('Raw Data'!$B$2:$B$410,A233)</f>
        <v>3</v>
      </c>
    </row>
    <row r="234" spans="1:9" x14ac:dyDescent="0.35">
      <c r="A234" s="5">
        <v>75454</v>
      </c>
      <c r="B234" s="6" t="str">
        <f>INDEX('Raw Data'!$D$2:$D$410,MATCH(A234,'Raw Data'!$B$2:$B$410,0))</f>
        <v>LEGO Star Wars 75454 Imperial Remnant AT-AT...</v>
      </c>
      <c r="C234" s="5" t="str">
        <f>INDEX('Raw Data'!$C$2:$C$410,MATCH(A234,'Raw Data'!$B$2:$B$410,0))</f>
        <v>Lego Star Wars</v>
      </c>
      <c r="D234" s="7">
        <f>_xlfn.MINIFS('Raw Data'!$E$2:$E$410,'Raw Data'!$B$2:$B$410,A234)</f>
        <v>131.51</v>
      </c>
      <c r="E234" s="5" t="str">
        <f>INDEX('Raw Data'!$A$2:$A$410,MATCH(1,INDEX(('Raw Data'!$B$2:$B$410=A234)*('Raw Data'!$E$2:$E$410=D234),0),0))</f>
        <v>Brickmo</v>
      </c>
      <c r="F234" s="7">
        <f>_xlfn.MAXIFS('Raw Data'!$E$2:$E$410,'Raw Data'!$B$2:$B$410,A234)</f>
        <v>150.34</v>
      </c>
      <c r="G234" s="5" t="str">
        <f>INDEX('Raw Data'!$A$2:$A$410,MATCH(1,INDEX(('Raw Data'!$B$2:$B$410=A234)*('Raw Data'!$E$2:$E$410=F234),0),0))</f>
        <v>bricksdirect</v>
      </c>
      <c r="H234" s="7">
        <f t="shared" si="3"/>
        <v>18.830000000000013</v>
      </c>
      <c r="I234" s="5">
        <f>COUNTIF('Raw Data'!$B$2:$B$410,A234)</f>
        <v>3</v>
      </c>
    </row>
    <row r="235" spans="1:9" x14ac:dyDescent="0.35">
      <c r="A235" s="5">
        <v>75455</v>
      </c>
      <c r="B235" s="6" t="str">
        <f>INDEX('Raw Data'!$D$2:$D$410,MATCH(A235,'Raw Data'!$B$2:$B$410,0))</f>
        <v>LEGO Star Wars 75455 Boba Fett 75455</v>
      </c>
      <c r="C235" s="5" t="str">
        <f>INDEX('Raw Data'!$C$2:$C$410,MATCH(A235,'Raw Data'!$B$2:$B$410,0))</f>
        <v>Lego Star Wars</v>
      </c>
      <c r="D235" s="7">
        <f>_xlfn.MINIFS('Raw Data'!$E$2:$E$410,'Raw Data'!$B$2:$B$410,A235)</f>
        <v>138.32</v>
      </c>
      <c r="E235" s="5" t="str">
        <f>INDEX('Raw Data'!$A$2:$A$410,MATCH(1,INDEX(('Raw Data'!$B$2:$B$410=A235)*('Raw Data'!$E$2:$E$410=D235),0),0))</f>
        <v>Brickmo</v>
      </c>
      <c r="F235" s="7">
        <f>_xlfn.MAXIFS('Raw Data'!$E$2:$E$410,'Raw Data'!$B$2:$B$410,A235)</f>
        <v>160.29</v>
      </c>
      <c r="G235" s="5" t="str">
        <f>INDEX('Raw Data'!$A$2:$A$410,MATCH(1,INDEX(('Raw Data'!$B$2:$B$410=A235)*('Raw Data'!$E$2:$E$410=F235),0),0))</f>
        <v>bricksdirect</v>
      </c>
      <c r="H235" s="7">
        <f t="shared" si="3"/>
        <v>21.97</v>
      </c>
      <c r="I235" s="5">
        <f>COUNTIF('Raw Data'!$B$2:$B$410,A235)</f>
        <v>3</v>
      </c>
    </row>
    <row r="236" spans="1:9" x14ac:dyDescent="0.35">
      <c r="A236" s="5">
        <v>75456</v>
      </c>
      <c r="B236" s="6" t="str">
        <f>INDEX('Raw Data'!$D$2:$D$410,MATCH(A236,'Raw Data'!$B$2:$B$410,0))</f>
        <v>LEGO Star Wars 75456 Advent Calendar 2026 75456</v>
      </c>
      <c r="C236" s="5" t="str">
        <f>INDEX('Raw Data'!$C$2:$C$410,MATCH(A236,'Raw Data'!$B$2:$B$410,0))</f>
        <v>Lego Star Wars</v>
      </c>
      <c r="D236" s="7">
        <f>_xlfn.MINIFS('Raw Data'!$E$2:$E$410,'Raw Data'!$B$2:$B$410,A236)</f>
        <v>27.62</v>
      </c>
      <c r="E236" s="5" t="str">
        <f>INDEX('Raw Data'!$A$2:$A$410,MATCH(1,INDEX(('Raw Data'!$B$2:$B$410=A236)*('Raw Data'!$E$2:$E$410=D236),0),0))</f>
        <v>Brickmo</v>
      </c>
      <c r="F236" s="7">
        <f>_xlfn.MAXIFS('Raw Data'!$E$2:$E$410,'Raw Data'!$B$2:$B$410,A236)</f>
        <v>33.15</v>
      </c>
      <c r="G236" s="5" t="str">
        <f>INDEX('Raw Data'!$A$2:$A$410,MATCH(1,INDEX(('Raw Data'!$B$2:$B$410=A236)*('Raw Data'!$E$2:$E$410=F236),0),0))</f>
        <v>bricksdirect</v>
      </c>
      <c r="H236" s="7">
        <f t="shared" si="3"/>
        <v>5.5299999999999976</v>
      </c>
      <c r="I236" s="5">
        <f>COUNTIF('Raw Data'!$B$2:$B$410,A236)</f>
        <v>3</v>
      </c>
    </row>
    <row r="237" spans="1:9" x14ac:dyDescent="0.35">
      <c r="A237" s="5">
        <v>75458</v>
      </c>
      <c r="B237" s="6" t="str">
        <f>INDEX('Raw Data'!$D$2:$D$410,MATCH(A237,'Raw Data'!$B$2:$B$410,0))</f>
        <v>LEGO 75458 Imperial Remnant AT-RT Driver Helmet</v>
      </c>
      <c r="C237" s="5" t="str">
        <f>INDEX('Raw Data'!$C$2:$C$410,MATCH(A237,'Raw Data'!$B$2:$B$410,0))</f>
        <v>Lego Star Wars</v>
      </c>
      <c r="D237" s="7">
        <f>_xlfn.MINIFS('Raw Data'!$E$2:$E$410,'Raw Data'!$B$2:$B$410,A237)</f>
        <v>69.989999999999995</v>
      </c>
      <c r="E237" s="5" t="str">
        <f>INDEX('Raw Data'!$A$2:$A$410,MATCH(1,INDEX(('Raw Data'!$B$2:$B$410=A237)*('Raw Data'!$E$2:$E$410=D237),0),0))</f>
        <v>JB Spielwaren</v>
      </c>
      <c r="F237" s="7">
        <f>_xlfn.MAXIFS('Raw Data'!$E$2:$E$410,'Raw Data'!$B$2:$B$410,A237)</f>
        <v>88.43</v>
      </c>
      <c r="G237" s="5" t="str">
        <f>INDEX('Raw Data'!$A$2:$A$410,MATCH(1,INDEX(('Raw Data'!$B$2:$B$410=A237)*('Raw Data'!$E$2:$E$410=F237),0),0))</f>
        <v>bricksdirect</v>
      </c>
      <c r="H237" s="7">
        <f t="shared" si="3"/>
        <v>18.440000000000012</v>
      </c>
      <c r="I237" s="5">
        <f>COUNTIF('Raw Data'!$B$2:$B$410,A237)</f>
        <v>2</v>
      </c>
    </row>
    <row r="238" spans="1:9" x14ac:dyDescent="0.35">
      <c r="A238" s="5">
        <v>75459</v>
      </c>
      <c r="B238" s="6" t="str">
        <f>INDEX('Raw Data'!$D$2:$D$410,MATCH(A238,'Raw Data'!$B$2:$B$410,0))</f>
        <v>LEGO 75459 Imperial Lambda-Class Shuttle</v>
      </c>
      <c r="C238" s="5" t="str">
        <f>INDEX('Raw Data'!$C$2:$C$410,MATCH(A238,'Raw Data'!$B$2:$B$410,0))</f>
        <v>Lego Star Wars</v>
      </c>
      <c r="D238" s="7">
        <f>_xlfn.MINIFS('Raw Data'!$E$2:$E$410,'Raw Data'!$B$2:$B$410,A238)</f>
        <v>149.99</v>
      </c>
      <c r="E238" s="5" t="str">
        <f>INDEX('Raw Data'!$A$2:$A$410,MATCH(1,INDEX(('Raw Data'!$B$2:$B$410=A238)*('Raw Data'!$E$2:$E$410=D238),0),0))</f>
        <v>JB Spielwaren</v>
      </c>
      <c r="F238" s="7">
        <f>_xlfn.MAXIFS('Raw Data'!$E$2:$E$410,'Raw Data'!$B$2:$B$410,A238)</f>
        <v>176.87</v>
      </c>
      <c r="G238" s="5" t="str">
        <f>INDEX('Raw Data'!$A$2:$A$410,MATCH(1,INDEX(('Raw Data'!$B$2:$B$410=A238)*('Raw Data'!$E$2:$E$410=F238),0),0))</f>
        <v>bricksdirect</v>
      </c>
      <c r="H238" s="7">
        <f t="shared" si="3"/>
        <v>26.879999999999995</v>
      </c>
      <c r="I238" s="5">
        <f>COUNTIF('Raw Data'!$B$2:$B$410,A238)</f>
        <v>2</v>
      </c>
    </row>
    <row r="239" spans="1:9" hidden="1" x14ac:dyDescent="0.35">
      <c r="A239" s="5">
        <v>75460</v>
      </c>
      <c r="B239" s="6" t="str">
        <f>INDEX('Raw Data'!$D$2:$D$410,MATCH(A239,'Raw Data'!$B$2:$B$410,0))</f>
        <v>LEGO 75460 New Republic X-Wing Starfighter</v>
      </c>
      <c r="C239" s="5" t="str">
        <f>INDEX('Raw Data'!$C$2:$C$410,MATCH(A239,'Raw Data'!$B$2:$B$410,0))</f>
        <v>Lego Star Wars</v>
      </c>
      <c r="D239" s="7">
        <f>_xlfn.MINIFS('Raw Data'!$E$2:$E$410,'Raw Data'!$B$2:$B$410,A239)</f>
        <v>88.43</v>
      </c>
      <c r="E239" s="5" t="str">
        <f>INDEX('Raw Data'!$A$2:$A$410,MATCH(1,INDEX(('Raw Data'!$B$2:$B$410=A239)*('Raw Data'!$E$2:$E$410=D239),0),0))</f>
        <v>bricksdirect</v>
      </c>
      <c r="F239" s="7">
        <f>_xlfn.MAXIFS('Raw Data'!$E$2:$E$410,'Raw Data'!$B$2:$B$410,A239)</f>
        <v>88.43</v>
      </c>
      <c r="G239" s="5" t="str">
        <f>INDEX('Raw Data'!$A$2:$A$410,MATCH(1,INDEX(('Raw Data'!$B$2:$B$410=A239)*('Raw Data'!$E$2:$E$410=F239),0),0))</f>
        <v>bricksdirect</v>
      </c>
      <c r="H239" s="7">
        <f t="shared" si="3"/>
        <v>0</v>
      </c>
      <c r="I239" s="5">
        <f>COUNTIF('Raw Data'!$B$2:$B$410,A239)</f>
        <v>1</v>
      </c>
    </row>
    <row r="240" spans="1:9" x14ac:dyDescent="0.35">
      <c r="A240" s="5">
        <v>75461</v>
      </c>
      <c r="B240" s="6" t="str">
        <f>INDEX('Raw Data'!$D$2:$D$410,MATCH(A240,'Raw Data'!$B$2:$B$410,0))</f>
        <v>LEGO 75461 Up-Scaled Darth Vader Minifigure</v>
      </c>
      <c r="C240" s="5" t="str">
        <f>INDEX('Raw Data'!$C$2:$C$410,MATCH(A240,'Raw Data'!$B$2:$B$410,0))</f>
        <v>Lego Star Wars</v>
      </c>
      <c r="D240" s="7">
        <f>_xlfn.MINIFS('Raw Data'!$E$2:$E$410,'Raw Data'!$B$2:$B$410,A240)</f>
        <v>99.99</v>
      </c>
      <c r="E240" s="5" t="str">
        <f>INDEX('Raw Data'!$A$2:$A$410,MATCH(1,INDEX(('Raw Data'!$B$2:$B$410=A240)*('Raw Data'!$E$2:$E$410=D240),0),0))</f>
        <v>JB Spielwaren</v>
      </c>
      <c r="F240" s="7">
        <f>_xlfn.MAXIFS('Raw Data'!$E$2:$E$410,'Raw Data'!$B$2:$B$410,A240)</f>
        <v>121.6</v>
      </c>
      <c r="G240" s="5" t="str">
        <f>INDEX('Raw Data'!$A$2:$A$410,MATCH(1,INDEX(('Raw Data'!$B$2:$B$410=A240)*('Raw Data'!$E$2:$E$410=F240),0),0))</f>
        <v>bricksdirect</v>
      </c>
      <c r="H240" s="7">
        <f t="shared" si="3"/>
        <v>21.61</v>
      </c>
      <c r="I240" s="5">
        <f>COUNTIF('Raw Data'!$B$2:$B$410,A240)</f>
        <v>2</v>
      </c>
    </row>
    <row r="241" spans="1:9" hidden="1" x14ac:dyDescent="0.35">
      <c r="A241" s="5">
        <v>75524</v>
      </c>
      <c r="B241" s="6" t="str">
        <f>INDEX('Raw Data'!$D$2:$D$410,MATCH(A241,'Raw Data'!$B$2:$B$410,0))</f>
        <v>LEGO 75524 Chirrut Îmwe</v>
      </c>
      <c r="C241" s="5" t="str">
        <f>INDEX('Raw Data'!$C$2:$C$410,MATCH(A241,'Raw Data'!$B$2:$B$410,0))</f>
        <v>Lego Star Wars</v>
      </c>
      <c r="D241" s="7">
        <f>_xlfn.MINIFS('Raw Data'!$E$2:$E$410,'Raw Data'!$B$2:$B$410,A241)</f>
        <v>22.1</v>
      </c>
      <c r="E241" s="5" t="str">
        <f>INDEX('Raw Data'!$A$2:$A$410,MATCH(1,INDEX(('Raw Data'!$B$2:$B$410=A241)*('Raw Data'!$E$2:$E$410=D241),0),0))</f>
        <v>bricksdirect</v>
      </c>
      <c r="F241" s="7">
        <f>_xlfn.MAXIFS('Raw Data'!$E$2:$E$410,'Raw Data'!$B$2:$B$410,A241)</f>
        <v>22.1</v>
      </c>
      <c r="G241" s="5" t="str">
        <f>INDEX('Raw Data'!$A$2:$A$410,MATCH(1,INDEX(('Raw Data'!$B$2:$B$410=A241)*('Raw Data'!$E$2:$E$410=F241),0),0))</f>
        <v>bricksdirect</v>
      </c>
      <c r="H241" s="7">
        <f t="shared" si="3"/>
        <v>0</v>
      </c>
      <c r="I241" s="5">
        <f>COUNTIF('Raw Data'!$B$2:$B$410,A241)</f>
        <v>1</v>
      </c>
    </row>
    <row r="242" spans="1:9" hidden="1" x14ac:dyDescent="0.35">
      <c r="A242" s="5">
        <v>75525</v>
      </c>
      <c r="B242" s="6" t="str">
        <f>INDEX('Raw Data'!$D$2:$D$410,MATCH(A242,'Raw Data'!$B$2:$B$410,0))</f>
        <v>LEGO 75525 Baze Malbus</v>
      </c>
      <c r="C242" s="5" t="str">
        <f>INDEX('Raw Data'!$C$2:$C$410,MATCH(A242,'Raw Data'!$B$2:$B$410,0))</f>
        <v>Lego Star Wars</v>
      </c>
      <c r="D242" s="7">
        <f>_xlfn.MINIFS('Raw Data'!$E$2:$E$410,'Raw Data'!$B$2:$B$410,A242)</f>
        <v>22.1</v>
      </c>
      <c r="E242" s="5" t="str">
        <f>INDEX('Raw Data'!$A$2:$A$410,MATCH(1,INDEX(('Raw Data'!$B$2:$B$410=A242)*('Raw Data'!$E$2:$E$410=D242),0),0))</f>
        <v>bricksdirect</v>
      </c>
      <c r="F242" s="7">
        <f>_xlfn.MAXIFS('Raw Data'!$E$2:$E$410,'Raw Data'!$B$2:$B$410,A242)</f>
        <v>22.1</v>
      </c>
      <c r="G242" s="5" t="str">
        <f>INDEX('Raw Data'!$A$2:$A$410,MATCH(1,INDEX(('Raw Data'!$B$2:$B$410=A242)*('Raw Data'!$E$2:$E$410=F242),0),0))</f>
        <v>bricksdirect</v>
      </c>
      <c r="H242" s="7">
        <f t="shared" si="3"/>
        <v>0</v>
      </c>
      <c r="I242" s="5">
        <f>COUNTIF('Raw Data'!$B$2:$B$410,A242)</f>
        <v>1</v>
      </c>
    </row>
    <row r="243" spans="1:9" hidden="1" x14ac:dyDescent="0.35">
      <c r="A243" s="5">
        <v>75528</v>
      </c>
      <c r="B243" s="6" t="str">
        <f>INDEX('Raw Data'!$D$2:$D$410,MATCH(A243,'Raw Data'!$B$2:$B$410,0))</f>
        <v>LEGO 75528 Rey</v>
      </c>
      <c r="C243" s="5" t="str">
        <f>INDEX('Raw Data'!$C$2:$C$410,MATCH(A243,'Raw Data'!$B$2:$B$410,0))</f>
        <v>Lego Star Wars</v>
      </c>
      <c r="D243" s="7">
        <f>_xlfn.MINIFS('Raw Data'!$E$2:$E$410,'Raw Data'!$B$2:$B$410,A243)</f>
        <v>27.63</v>
      </c>
      <c r="E243" s="5" t="str">
        <f>INDEX('Raw Data'!$A$2:$A$410,MATCH(1,INDEX(('Raw Data'!$B$2:$B$410=A243)*('Raw Data'!$E$2:$E$410=D243),0),0))</f>
        <v>bricksdirect</v>
      </c>
      <c r="F243" s="7">
        <f>_xlfn.MAXIFS('Raw Data'!$E$2:$E$410,'Raw Data'!$B$2:$B$410,A243)</f>
        <v>27.63</v>
      </c>
      <c r="G243" s="5" t="str">
        <f>INDEX('Raw Data'!$A$2:$A$410,MATCH(1,INDEX(('Raw Data'!$B$2:$B$410=A243)*('Raw Data'!$E$2:$E$410=F243),0),0))</f>
        <v>bricksdirect</v>
      </c>
      <c r="H243" s="7">
        <f t="shared" si="3"/>
        <v>0</v>
      </c>
      <c r="I243" s="5">
        <f>COUNTIF('Raw Data'!$B$2:$B$410,A243)</f>
        <v>1</v>
      </c>
    </row>
    <row r="244" spans="1:9" hidden="1" x14ac:dyDescent="0.35">
      <c r="A244" s="5">
        <v>75535</v>
      </c>
      <c r="B244" s="6" t="str">
        <f>INDEX('Raw Data'!$D$2:$D$410,MATCH(A244,'Raw Data'!$B$2:$B$410,0))</f>
        <v>LEGO 75535 Han Solo</v>
      </c>
      <c r="C244" s="5" t="str">
        <f>INDEX('Raw Data'!$C$2:$C$410,MATCH(A244,'Raw Data'!$B$2:$B$410,0))</f>
        <v>Lego Star Wars</v>
      </c>
      <c r="D244" s="7">
        <f>_xlfn.MINIFS('Raw Data'!$E$2:$E$410,'Raw Data'!$B$2:$B$410,A244)</f>
        <v>33.15</v>
      </c>
      <c r="E244" s="5" t="str">
        <f>INDEX('Raw Data'!$A$2:$A$410,MATCH(1,INDEX(('Raw Data'!$B$2:$B$410=A244)*('Raw Data'!$E$2:$E$410=D244),0),0))</f>
        <v>bricksdirect</v>
      </c>
      <c r="F244" s="7">
        <f>_xlfn.MAXIFS('Raw Data'!$E$2:$E$410,'Raw Data'!$B$2:$B$410,A244)</f>
        <v>33.15</v>
      </c>
      <c r="G244" s="5" t="str">
        <f>INDEX('Raw Data'!$A$2:$A$410,MATCH(1,INDEX(('Raw Data'!$B$2:$B$410=A244)*('Raw Data'!$E$2:$E$410=F244),0),0))</f>
        <v>bricksdirect</v>
      </c>
      <c r="H244" s="7">
        <f t="shared" si="3"/>
        <v>0</v>
      </c>
      <c r="I244" s="5">
        <f>COUNTIF('Raw Data'!$B$2:$B$410,A244)</f>
        <v>1</v>
      </c>
    </row>
    <row r="245" spans="1:9" hidden="1" x14ac:dyDescent="0.35">
      <c r="A245" s="5">
        <v>853778</v>
      </c>
      <c r="B245" s="6" t="str">
        <f>INDEX('Raw Data'!$D$2:$D$410,MATCH(A245,'Raw Data'!$B$2:$B$410,0))</f>
        <v>LEGO 853778 Stephanie’s Pool Pod</v>
      </c>
      <c r="C245" s="5" t="str">
        <f>INDEX('Raw Data'!$C$2:$C$410,MATCH(A245,'Raw Data'!$B$2:$B$410,0))</f>
        <v>Lego Friends</v>
      </c>
      <c r="D245" s="7">
        <f>_xlfn.MINIFS('Raw Data'!$E$2:$E$410,'Raw Data'!$B$2:$B$410,A245)</f>
        <v>11.04</v>
      </c>
      <c r="E245" s="5" t="str">
        <f>INDEX('Raw Data'!$A$2:$A$410,MATCH(1,INDEX(('Raw Data'!$B$2:$B$410=A245)*('Raw Data'!$E$2:$E$410=D245),0),0))</f>
        <v>bricksdirect</v>
      </c>
      <c r="F245" s="7">
        <f>_xlfn.MAXIFS('Raw Data'!$E$2:$E$410,'Raw Data'!$B$2:$B$410,A245)</f>
        <v>11.04</v>
      </c>
      <c r="G245" s="5" t="str">
        <f>INDEX('Raw Data'!$A$2:$A$410,MATCH(1,INDEX(('Raw Data'!$B$2:$B$410=A245)*('Raw Data'!$E$2:$E$410=F245),0),0))</f>
        <v>bricksdirect</v>
      </c>
      <c r="H245" s="7">
        <f t="shared" si="3"/>
        <v>0</v>
      </c>
      <c r="I245" s="5">
        <f>COUNTIF('Raw Data'!$B$2:$B$410,A245)</f>
        <v>1</v>
      </c>
    </row>
    <row r="246" spans="1:9" hidden="1" x14ac:dyDescent="0.35">
      <c r="A246" s="5">
        <v>5005236</v>
      </c>
      <c r="B246" s="6" t="str">
        <f>INDEX('Raw Data'!$D$2:$D$410,MATCH(A246,'Raw Data'!$B$2:$B$410,0))</f>
        <v>LEGO 5005236 Friends Clubhouse</v>
      </c>
      <c r="C246" s="5" t="str">
        <f>INDEX('Raw Data'!$C$2:$C$410,MATCH(A246,'Raw Data'!$B$2:$B$410,0))</f>
        <v>Lego Friends</v>
      </c>
      <c r="D246" s="7">
        <f>_xlfn.MINIFS('Raw Data'!$E$2:$E$410,'Raw Data'!$B$2:$B$410,A246)</f>
        <v>11.04</v>
      </c>
      <c r="E246" s="5" t="str">
        <f>INDEX('Raw Data'!$A$2:$A$410,MATCH(1,INDEX(('Raw Data'!$B$2:$B$410=A246)*('Raw Data'!$E$2:$E$410=D246),0),0))</f>
        <v>bricksdirect</v>
      </c>
      <c r="F246" s="7">
        <f>_xlfn.MAXIFS('Raw Data'!$E$2:$E$410,'Raw Data'!$B$2:$B$410,A246)</f>
        <v>11.04</v>
      </c>
      <c r="G246" s="5" t="str">
        <f>INDEX('Raw Data'!$A$2:$A$410,MATCH(1,INDEX(('Raw Data'!$B$2:$B$410=A246)*('Raw Data'!$E$2:$E$410=F246),0),0))</f>
        <v>bricksdirect</v>
      </c>
      <c r="H246" s="7">
        <f t="shared" si="3"/>
        <v>0</v>
      </c>
      <c r="I246" s="5">
        <f>COUNTIF('Raw Data'!$B$2:$B$410,A246)</f>
        <v>1</v>
      </c>
    </row>
    <row r="248" spans="1:9" x14ac:dyDescent="0.35">
      <c r="A248" s="8" t="s">
        <v>373</v>
      </c>
    </row>
  </sheetData>
  <autoFilter ref="A1:I246" xr:uid="{00000000-0009-0000-0000-000001000000}">
    <filterColumn colId="8">
      <filters>
        <filter val="2"/>
        <filter val="3"/>
        <filter val="4"/>
      </filters>
    </filterColumn>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Raw Data</vt:lpstr>
      <vt:lpstr>PriceComparison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Linda Humla</cp:lastModifiedBy>
  <dcterms:created xsi:type="dcterms:W3CDTF">2026-07-25T18:34:48Z</dcterms:created>
  <dcterms:modified xsi:type="dcterms:W3CDTF">2026-07-25T18:39:19Z</dcterms:modified>
</cp:coreProperties>
</file>