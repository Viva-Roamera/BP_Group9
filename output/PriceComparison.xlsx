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PriceComparison" sheetId="2" state="visible" r:id="rId2"/>
  </sheets>
  <definedNames>
    <definedName name="_xlnm._FilterDatabase" localSheetId="1" hidden="1">'PriceComparison'!$A$1:$I$243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305496"/>
        <b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3" borderId="0" applyAlignment="1" pivotButton="0" quotePrefix="0" xfId="0">
      <alignment horizont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2" fillId="0" borderId="0" applyAlignment="1" pivotButton="0" quotePrefix="0" xfId="0">
      <alignment horizont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8" customWidth="1" min="4" max="4"/>
    <col width="10" customWidth="1" min="5" max="5"/>
  </cols>
  <sheetData>
    <row r="1">
      <c r="A1" s="1" t="inlineStr">
        <is>
          <t>shop</t>
        </is>
      </c>
      <c r="B1" s="1" t="inlineStr">
        <is>
          <t>ProductID</t>
        </is>
      </c>
      <c r="C1" s="1" t="inlineStr">
        <is>
          <t>category</t>
        </is>
      </c>
      <c r="D1" s="1" t="inlineStr">
        <is>
          <t>name</t>
        </is>
      </c>
      <c r="E1" s="1" t="inlineStr">
        <is>
          <t>price</t>
        </is>
      </c>
    </row>
    <row r="2">
      <c r="A2" s="2" t="inlineStr">
        <is>
          <t>Brickmo</t>
        </is>
      </c>
      <c r="B2" s="2" t="n">
        <v>60312</v>
      </c>
      <c r="C2" s="2" t="inlineStr">
        <is>
          <t>Lego City</t>
        </is>
      </c>
      <c r="D2" s="2" t="inlineStr">
        <is>
          <t>LEGO City 60312 Police Car 60312</t>
        </is>
      </c>
      <c r="E2" s="3" t="n">
        <v>8.26</v>
      </c>
    </row>
    <row r="3">
      <c r="A3" s="2" t="inlineStr">
        <is>
          <t>Brickmo</t>
        </is>
      </c>
      <c r="B3" s="2" t="n">
        <v>60480</v>
      </c>
      <c r="C3" s="2" t="inlineStr">
        <is>
          <t>Lego City</t>
        </is>
      </c>
      <c r="D3" s="2" t="inlineStr">
        <is>
          <t>LEGO City 60480 Yellow Backhoe Loader 60480</t>
        </is>
      </c>
      <c r="E3" s="3" t="n">
        <v>22.17</v>
      </c>
    </row>
    <row r="4">
      <c r="A4" s="2" t="inlineStr">
        <is>
          <t>Brickmo</t>
        </is>
      </c>
      <c r="B4" s="2" t="n">
        <v>60502</v>
      </c>
      <c r="C4" s="2" t="inlineStr">
        <is>
          <t>Lego City</t>
        </is>
      </c>
      <c r="D4" s="2" t="inlineStr">
        <is>
          <t>LEGO City 60502 Airport with Airplane 60502</t>
        </is>
      </c>
      <c r="E4" s="3" t="n">
        <v>80.55</v>
      </c>
    </row>
    <row r="5">
      <c r="A5" s="2" t="inlineStr">
        <is>
          <t>Brickmo</t>
        </is>
      </c>
      <c r="B5" s="2" t="n">
        <v>60373</v>
      </c>
      <c r="C5" s="2" t="inlineStr">
        <is>
          <t>Lego City</t>
        </is>
      </c>
      <c r="D5" s="2" t="inlineStr">
        <is>
          <t>LEGO City 60373 Fire Rescue Boat 60373</t>
        </is>
      </c>
      <c r="E5" s="3" t="n">
        <v>15.49</v>
      </c>
    </row>
    <row r="6">
      <c r="A6" s="2" t="inlineStr">
        <is>
          <t>Brickmo</t>
        </is>
      </c>
      <c r="B6" s="2" t="n">
        <v>60454</v>
      </c>
      <c r="C6" s="2" t="inlineStr">
        <is>
          <t>Lego City</t>
        </is>
      </c>
      <c r="D6" s="2" t="inlineStr">
        <is>
          <t>LEGO City Fahrzeuge 60454 Holiday Adventure...</t>
        </is>
      </c>
      <c r="E6" s="3" t="n">
        <v>22.68</v>
      </c>
    </row>
    <row r="7">
      <c r="A7" s="2" t="inlineStr">
        <is>
          <t>Brickmo</t>
        </is>
      </c>
      <c r="B7" s="2" t="n">
        <v>60430</v>
      </c>
      <c r="C7" s="2" t="inlineStr">
        <is>
          <t>Lego City</t>
        </is>
      </c>
      <c r="D7" s="2" t="inlineStr">
        <is>
          <t>LEGO City 60430 Interstellar Spaceship 60430</t>
        </is>
      </c>
      <c r="E7" s="3" t="n">
        <v>14.97</v>
      </c>
    </row>
    <row r="8">
      <c r="A8" s="2" t="inlineStr">
        <is>
          <t>Brickmo</t>
        </is>
      </c>
      <c r="B8" s="2" t="n">
        <v>60484</v>
      </c>
      <c r="C8" s="2" t="inlineStr">
        <is>
          <t>Lego City</t>
        </is>
      </c>
      <c r="D8" s="2" t="inlineStr">
        <is>
          <t>LEGO City 60484 Rides – Gaming Race Car 60484</t>
        </is>
      </c>
      <c r="E8" s="3" t="n">
        <v>7.49</v>
      </c>
    </row>
    <row r="9">
      <c r="A9" s="2" t="inlineStr">
        <is>
          <t>Brickmo</t>
        </is>
      </c>
      <c r="B9" s="2" t="n">
        <v>60419</v>
      </c>
      <c r="C9" s="2" t="inlineStr">
        <is>
          <t>Lego City</t>
        </is>
      </c>
      <c r="D9" s="2" t="inlineStr">
        <is>
          <t>LEGO City 60419 Police Prison Island 60419</t>
        </is>
      </c>
      <c r="E9" s="3" t="n">
        <v>78.48</v>
      </c>
    </row>
    <row r="10">
      <c r="A10" s="2" t="inlineStr">
        <is>
          <t>Brickmo</t>
        </is>
      </c>
      <c r="B10" s="2" t="n">
        <v>60414</v>
      </c>
      <c r="C10" s="2" t="inlineStr">
        <is>
          <t>Lego City</t>
        </is>
      </c>
      <c r="D10" s="2" t="inlineStr">
        <is>
          <t>LEGO City 60414 Fire Station with Fire Truck 60414</t>
        </is>
      </c>
      <c r="E10" s="3" t="n">
        <v>61.95</v>
      </c>
    </row>
    <row r="11">
      <c r="A11" s="2" t="inlineStr">
        <is>
          <t>Brickmo</t>
        </is>
      </c>
      <c r="B11" s="2" t="n">
        <v>60483</v>
      </c>
      <c r="C11" s="2" t="inlineStr">
        <is>
          <t>Lego City</t>
        </is>
      </c>
      <c r="D11" s="2" t="inlineStr">
        <is>
          <t>LEGO City 60483 Rides – Construction Loader 60483</t>
        </is>
      </c>
      <c r="E11" s="3" t="n">
        <v>7.49</v>
      </c>
    </row>
    <row r="12">
      <c r="A12" s="2" t="inlineStr">
        <is>
          <t>Brickmo</t>
        </is>
      </c>
      <c r="B12" s="2" t="n">
        <v>60479</v>
      </c>
      <c r="C12" s="2" t="inlineStr">
        <is>
          <t>Lego City</t>
        </is>
      </c>
      <c r="D12" s="2" t="inlineStr">
        <is>
          <t>LEGO City 60479 Police Prisoner Transport Van...</t>
        </is>
      </c>
      <c r="E12" s="3" t="n">
        <v>16.01</v>
      </c>
    </row>
    <row r="13">
      <c r="A13" s="2" t="inlineStr">
        <is>
          <t>Brickmo</t>
        </is>
      </c>
      <c r="B13" s="2" t="n">
        <v>60465</v>
      </c>
      <c r="C13" s="2" t="inlineStr">
        <is>
          <t>Lego City</t>
        </is>
      </c>
      <c r="D13" s="2" t="inlineStr">
        <is>
          <t>LEGO City 60465 Emergency Air Ambulance...</t>
        </is>
      </c>
      <c r="E13" s="3" t="n">
        <v>40.25</v>
      </c>
    </row>
    <row r="14">
      <c r="A14" s="2" t="inlineStr">
        <is>
          <t>Brickmo</t>
        </is>
      </c>
      <c r="B14" s="2" t="n">
        <v>60481</v>
      </c>
      <c r="C14" s="2" t="inlineStr">
        <is>
          <t>Lego City</t>
        </is>
      </c>
      <c r="D14" s="2" t="inlineStr">
        <is>
          <t>LEGO City 60481 Rides – Police Truck 60481</t>
        </is>
      </c>
      <c r="E14" s="3" t="n">
        <v>7.49</v>
      </c>
    </row>
    <row r="15">
      <c r="A15" s="2" t="inlineStr">
        <is>
          <t>Brickmo</t>
        </is>
      </c>
      <c r="B15" s="2" t="n">
        <v>60404</v>
      </c>
      <c r="C15" s="2" t="inlineStr">
        <is>
          <t>Lego City</t>
        </is>
      </c>
      <c r="D15" s="2" t="inlineStr">
        <is>
          <t>LEGO City 60404 Burger Truck 60404</t>
        </is>
      </c>
      <c r="E15" s="3" t="n">
        <v>16.52</v>
      </c>
    </row>
    <row r="16">
      <c r="A16" s="2" t="inlineStr">
        <is>
          <t>Brickmo</t>
        </is>
      </c>
      <c r="B16" s="2" t="n">
        <v>60482</v>
      </c>
      <c r="C16" s="2" t="inlineStr">
        <is>
          <t>Lego City</t>
        </is>
      </c>
      <c r="D16" s="2" t="inlineStr">
        <is>
          <t>LEGO City 60482 Rides – Fire Truck 60482</t>
        </is>
      </c>
      <c r="E16" s="3" t="n">
        <v>7.49</v>
      </c>
    </row>
    <row r="17">
      <c r="A17" s="2" t="inlineStr">
        <is>
          <t>Brickmo</t>
        </is>
      </c>
      <c r="B17" s="2" t="n">
        <v>60486</v>
      </c>
      <c r="C17" s="2" t="inlineStr">
        <is>
          <t>Lego City</t>
        </is>
      </c>
      <c r="D17" s="2" t="inlineStr">
        <is>
          <t>LEGO City 60486 EV Supercar 60486</t>
        </is>
      </c>
      <c r="E17" s="3" t="n">
        <v>8.529999999999999</v>
      </c>
    </row>
    <row r="18">
      <c r="A18" s="2" t="inlineStr">
        <is>
          <t>Brickmo</t>
        </is>
      </c>
      <c r="B18" s="2" t="n">
        <v>60505</v>
      </c>
      <c r="C18" s="2" t="inlineStr">
        <is>
          <t>Lego City</t>
        </is>
      </c>
      <c r="D18" s="2" t="inlineStr">
        <is>
          <t>LEGO City 60505 Airplane, Service Truck &amp;...</t>
        </is>
      </c>
      <c r="E18" s="3" t="n">
        <v>54.61</v>
      </c>
    </row>
    <row r="19">
      <c r="A19" s="2" t="inlineStr">
        <is>
          <t>Brickmo</t>
        </is>
      </c>
      <c r="B19" s="2" t="n">
        <v>60205</v>
      </c>
      <c r="C19" s="2" t="inlineStr">
        <is>
          <t>Lego City</t>
        </is>
      </c>
      <c r="D19" s="2" t="inlineStr">
        <is>
          <t>LEGO City 60205 Tracks 60205</t>
        </is>
      </c>
      <c r="E19" s="3" t="n">
        <v>15.49</v>
      </c>
    </row>
    <row r="20">
      <c r="A20" s="2" t="inlineStr">
        <is>
          <t>Brickmo</t>
        </is>
      </c>
      <c r="B20" s="2" t="n">
        <v>60368</v>
      </c>
      <c r="C20" s="2" t="inlineStr">
        <is>
          <t>Lego City</t>
        </is>
      </c>
      <c r="D20" s="2" t="inlineStr">
        <is>
          <t>LEGO City 60368 Arctic Explorer Ship 60368</t>
        </is>
      </c>
      <c r="E20" s="3" t="n">
        <v>153.97</v>
      </c>
    </row>
    <row r="21">
      <c r="A21" s="2" t="inlineStr">
        <is>
          <t>Brickmo</t>
        </is>
      </c>
      <c r="B21" s="2" t="n">
        <v>60511</v>
      </c>
      <c r="C21" s="2" t="inlineStr">
        <is>
          <t>Lego City</t>
        </is>
      </c>
      <c r="D21" s="2" t="inlineStr">
        <is>
          <t>LEGO City 60511 Vintage Steam Train 60511</t>
        </is>
      </c>
      <c r="E21" s="3" t="n">
        <v>71.25</v>
      </c>
    </row>
    <row r="22">
      <c r="A22" s="2" t="inlineStr">
        <is>
          <t>Brickmo</t>
        </is>
      </c>
      <c r="B22" s="2" t="n">
        <v>60506</v>
      </c>
      <c r="C22" s="2" t="inlineStr">
        <is>
          <t>Lego City</t>
        </is>
      </c>
      <c r="D22" s="2" t="inlineStr">
        <is>
          <t>LEGO City 60506 Classic Beach Streetcar 60506</t>
        </is>
      </c>
      <c r="E22" s="3" t="n">
        <v>55.28</v>
      </c>
    </row>
    <row r="23">
      <c r="A23" s="2" t="inlineStr">
        <is>
          <t>Brickmo</t>
        </is>
      </c>
      <c r="B23" s="2" t="n">
        <v>60494</v>
      </c>
      <c r="C23" s="2" t="inlineStr">
        <is>
          <t>Lego City</t>
        </is>
      </c>
      <c r="D23" s="2" t="inlineStr">
        <is>
          <t>LEGO City 60494 Dump Truck &amp; Front End Loader...</t>
        </is>
      </c>
      <c r="E23" s="3" t="n">
        <v>97.65000000000001</v>
      </c>
    </row>
    <row r="24">
      <c r="A24" s="2" t="inlineStr">
        <is>
          <t>Brickmo</t>
        </is>
      </c>
      <c r="B24" s="2" t="n">
        <v>60492</v>
      </c>
      <c r="C24" s="2" t="inlineStr">
        <is>
          <t>Lego City</t>
        </is>
      </c>
      <c r="D24" s="2" t="inlineStr">
        <is>
          <t>LEGO City 60492 Passenger Jet 60492</t>
        </is>
      </c>
      <c r="E24" s="3" t="n">
        <v>22.17</v>
      </c>
    </row>
    <row r="25">
      <c r="A25" s="2" t="inlineStr">
        <is>
          <t>Brickmo</t>
        </is>
      </c>
      <c r="B25" s="2" t="n">
        <v>60497</v>
      </c>
      <c r="C25" s="2" t="inlineStr">
        <is>
          <t>Lego City</t>
        </is>
      </c>
      <c r="D25" s="2" t="inlineStr">
        <is>
          <t>LEGO City 60497 Drive-Through Car Wash 60497</t>
        </is>
      </c>
      <c r="E25" s="3" t="n">
        <v>42.83</v>
      </c>
    </row>
    <row r="26">
      <c r="A26" s="2" t="inlineStr">
        <is>
          <t>Brickmo</t>
        </is>
      </c>
      <c r="B26" s="2" t="n">
        <v>75455</v>
      </c>
      <c r="C26" s="2" t="inlineStr">
        <is>
          <t>Lego Star Wars</t>
        </is>
      </c>
      <c r="D26" s="2" t="inlineStr">
        <is>
          <t>LEGO Star Wars 75455 Boba Fett 75455</t>
        </is>
      </c>
      <c r="E26" s="3" t="n">
        <v>139.45</v>
      </c>
    </row>
    <row r="27">
      <c r="A27" s="2" t="inlineStr">
        <is>
          <t>Brickmo</t>
        </is>
      </c>
      <c r="B27" s="2" t="n">
        <v>75331</v>
      </c>
      <c r="C27" s="2" t="inlineStr">
        <is>
          <t>Lego Star Wars</t>
        </is>
      </c>
      <c r="D27" s="2" t="inlineStr">
        <is>
          <t>LEGO Star Wars 75331 The Razor Crest 75331</t>
        </is>
      </c>
      <c r="E27" s="3" t="n">
        <v>618.97</v>
      </c>
    </row>
    <row r="28">
      <c r="A28" s="2" t="inlineStr">
        <is>
          <t>Brickmo</t>
        </is>
      </c>
      <c r="B28" s="2" t="n">
        <v>75192</v>
      </c>
      <c r="C28" s="2" t="inlineStr">
        <is>
          <t>Lego Star Wars</t>
        </is>
      </c>
      <c r="D28" s="2" t="inlineStr">
        <is>
          <t>LEGO Star Wars 75192 Millennium Falcon 75192</t>
        </is>
      </c>
      <c r="E28" s="3" t="n">
        <v>784.3</v>
      </c>
    </row>
    <row r="29">
      <c r="A29" s="2" t="inlineStr">
        <is>
          <t>Brickmo</t>
        </is>
      </c>
      <c r="B29" s="2" t="n">
        <v>40755</v>
      </c>
      <c r="C29" s="2" t="inlineStr">
        <is>
          <t>Lego Star Wars</t>
        </is>
      </c>
      <c r="D29" s="2" t="inlineStr">
        <is>
          <t>LEGO Star Wars 40755 Imperial Dropship vs....</t>
        </is>
      </c>
      <c r="E29" s="3" t="n">
        <v>49.55</v>
      </c>
    </row>
    <row r="30">
      <c r="A30" s="2" t="inlineStr">
        <is>
          <t>Brickmo</t>
        </is>
      </c>
      <c r="B30" s="2" t="n">
        <v>75383</v>
      </c>
      <c r="C30" s="2" t="inlineStr">
        <is>
          <t>Lego Star Wars</t>
        </is>
      </c>
      <c r="D30" s="2" t="inlineStr">
        <is>
          <t>LEGO Star Wars 75383 Darth Maul's Sith...</t>
        </is>
      </c>
      <c r="E30" s="3" t="n">
        <v>72.28</v>
      </c>
    </row>
    <row r="31">
      <c r="A31" s="2" t="inlineStr">
        <is>
          <t>Brickmo</t>
        </is>
      </c>
      <c r="B31" s="2" t="n">
        <v>75400</v>
      </c>
      <c r="C31" s="2" t="inlineStr">
        <is>
          <t>Lego Star Wars</t>
        </is>
      </c>
      <c r="D31" s="2" t="inlineStr">
        <is>
          <t>LEGO Star Wars 75400 Plo Koon's Jedi...</t>
        </is>
      </c>
      <c r="E31" s="3" t="n">
        <v>11.87</v>
      </c>
    </row>
    <row r="32">
      <c r="A32" s="2" t="inlineStr">
        <is>
          <t>Brickmo</t>
        </is>
      </c>
      <c r="B32" s="2" t="n">
        <v>75397</v>
      </c>
      <c r="C32" s="2" t="inlineStr">
        <is>
          <t>Lego Star Wars</t>
        </is>
      </c>
      <c r="D32" s="2" t="inlineStr">
        <is>
          <t>LEGO Star Wars 75397 Jabba's Sail Barge 75397</t>
        </is>
      </c>
      <c r="E32" s="3" t="n">
        <v>449.45</v>
      </c>
    </row>
    <row r="33">
      <c r="A33" s="2" t="inlineStr">
        <is>
          <t>Brickmo</t>
        </is>
      </c>
      <c r="B33" s="2" t="n">
        <v>75453</v>
      </c>
      <c r="C33" s="2" t="inlineStr">
        <is>
          <t>Lego Star Wars</t>
        </is>
      </c>
      <c r="D33" s="2" t="inlineStr">
        <is>
          <t>LEGO Star Wars 75453 Offworld Sandcrawler and...</t>
        </is>
      </c>
      <c r="E33" s="3" t="n">
        <v>165.28</v>
      </c>
    </row>
    <row r="34">
      <c r="A34" s="2" t="inlineStr">
        <is>
          <t>Brickmo</t>
        </is>
      </c>
      <c r="B34" s="2" t="n">
        <v>75454</v>
      </c>
      <c r="C34" s="2" t="inlineStr">
        <is>
          <t>Lego Star Wars</t>
        </is>
      </c>
      <c r="D34" s="2" t="inlineStr">
        <is>
          <t>LEGO Star Wars 75454 Imperial Remnant AT-AT...</t>
        </is>
      </c>
      <c r="E34" s="3" t="n">
        <v>132.58</v>
      </c>
    </row>
    <row r="35">
      <c r="A35" s="2" t="inlineStr">
        <is>
          <t>Brickmo</t>
        </is>
      </c>
      <c r="B35" s="2" t="n">
        <v>75349</v>
      </c>
      <c r="C35" s="2" t="inlineStr">
        <is>
          <t>Lego Star Wars</t>
        </is>
      </c>
      <c r="D35" s="2" t="inlineStr">
        <is>
          <t>LEGO Star Wars 75349 Captain Rex Helmet 75349</t>
        </is>
      </c>
      <c r="E35" s="3" t="n">
        <v>72.28</v>
      </c>
    </row>
    <row r="36">
      <c r="A36" s="2" t="inlineStr">
        <is>
          <t>Brickmo</t>
        </is>
      </c>
      <c r="B36" s="2" t="n">
        <v>75345</v>
      </c>
      <c r="C36" s="2" t="inlineStr">
        <is>
          <t>Lego Star Wars</t>
        </is>
      </c>
      <c r="D36" s="2" t="inlineStr">
        <is>
          <t>LEGO Star Wars 75345 501st Clone Troopers...</t>
        </is>
      </c>
      <c r="E36" s="3" t="n">
        <v>20.62</v>
      </c>
    </row>
    <row r="37">
      <c r="A37" s="2" t="inlineStr">
        <is>
          <t>Brickmo</t>
        </is>
      </c>
      <c r="B37" s="2" t="n">
        <v>75401</v>
      </c>
      <c r="C37" s="2" t="inlineStr">
        <is>
          <t>Lego Star Wars</t>
        </is>
      </c>
      <c r="D37" s="2" t="inlineStr">
        <is>
          <t>LEGO Star Wars 75401 Ahsoka's Jedi Interceptor...</t>
        </is>
      </c>
      <c r="E37" s="3" t="n">
        <v>37.15</v>
      </c>
    </row>
    <row r="38">
      <c r="A38" s="2" t="inlineStr">
        <is>
          <t>Brickmo</t>
        </is>
      </c>
      <c r="B38" s="2" t="n">
        <v>75347</v>
      </c>
      <c r="C38" s="2" t="inlineStr">
        <is>
          <t>Lego Star Wars</t>
        </is>
      </c>
      <c r="D38" s="2" t="inlineStr">
        <is>
          <t>LEGO Star Wars 75347 TIE Bomber 75347</t>
        </is>
      </c>
      <c r="E38" s="3" t="n">
        <v>54.76</v>
      </c>
    </row>
    <row r="39">
      <c r="A39" s="2" t="inlineStr">
        <is>
          <t>Brickmo</t>
        </is>
      </c>
      <c r="B39" s="2" t="n">
        <v>75404</v>
      </c>
      <c r="C39" s="2" t="inlineStr">
        <is>
          <t>Lego Star Wars</t>
        </is>
      </c>
      <c r="D39" s="2" t="inlineStr">
        <is>
          <t>LEGO Star Wars 75404 Acclamator-Class Assault...</t>
        </is>
      </c>
      <c r="E39" s="3" t="n">
        <v>41.28</v>
      </c>
    </row>
    <row r="40">
      <c r="A40" s="2" t="inlineStr">
        <is>
          <t>Brickmo</t>
        </is>
      </c>
      <c r="B40" s="2" t="n">
        <v>75403</v>
      </c>
      <c r="C40" s="2" t="inlineStr">
        <is>
          <t>Lego Star Wars</t>
        </is>
      </c>
      <c r="D40" s="2" t="inlineStr">
        <is>
          <t>LEGO Star Wars 75403 Grogu with Hover Pram 75403</t>
        </is>
      </c>
      <c r="E40" s="3" t="n">
        <v>82.62</v>
      </c>
    </row>
    <row r="41">
      <c r="A41" s="2" t="inlineStr">
        <is>
          <t>Brickmo</t>
        </is>
      </c>
      <c r="B41" s="2" t="n">
        <v>75333</v>
      </c>
      <c r="C41" s="2" t="inlineStr">
        <is>
          <t>Lego Star Wars</t>
        </is>
      </c>
      <c r="D41" s="2" t="inlineStr">
        <is>
          <t>LEGO Star Wars 75333 Obi-Wan Kenobi’s Jedi...</t>
        </is>
      </c>
      <c r="E41" s="3" t="n">
        <v>36.12</v>
      </c>
    </row>
    <row r="42">
      <c r="A42" s="2" t="inlineStr">
        <is>
          <t>Brickmo</t>
        </is>
      </c>
      <c r="B42" s="2" t="n">
        <v>75373</v>
      </c>
      <c r="C42" s="2" t="inlineStr">
        <is>
          <t>Lego Star Wars</t>
        </is>
      </c>
      <c r="D42" s="2" t="inlineStr">
        <is>
          <t>LEGO Star Wars 75373 Ambush on Mandalore Battle...</t>
        </is>
      </c>
      <c r="E42" s="3" t="n">
        <v>20.62</v>
      </c>
    </row>
    <row r="43">
      <c r="A43" s="2" t="inlineStr">
        <is>
          <t>Brickmo</t>
        </is>
      </c>
      <c r="B43" s="2" t="n">
        <v>75325</v>
      </c>
      <c r="C43" s="2" t="inlineStr">
        <is>
          <t>Lego Star Wars</t>
        </is>
      </c>
      <c r="D43" s="2" t="inlineStr">
        <is>
          <t>LEGO Star Wars 75325 The Mandalorian´s N-1...</t>
        </is>
      </c>
      <c r="E43" s="3" t="n">
        <v>60.97</v>
      </c>
    </row>
    <row r="44">
      <c r="A44" s="2" t="inlineStr">
        <is>
          <t>Brickmo</t>
        </is>
      </c>
      <c r="B44" s="2" t="n">
        <v>75456</v>
      </c>
      <c r="C44" s="2" t="inlineStr">
        <is>
          <t>Lego Star Wars</t>
        </is>
      </c>
      <c r="D44" s="2" t="inlineStr">
        <is>
          <t>LEGO Star Wars 75456 Advent Calendar 2026 75456</t>
        </is>
      </c>
      <c r="E44" s="3" t="n">
        <v>27.85</v>
      </c>
    </row>
    <row r="45">
      <c r="A45" s="2" t="inlineStr">
        <is>
          <t>Brickmo</t>
        </is>
      </c>
      <c r="B45" s="2" t="n">
        <v>75451</v>
      </c>
      <c r="C45" s="2" t="inlineStr">
        <is>
          <t>Lego Star Wars</t>
        </is>
      </c>
      <c r="D45" s="2" t="inlineStr">
        <is>
          <t>LEGO Star Wars 75451 Hutt Palace Sentry Droid...</t>
        </is>
      </c>
      <c r="E45" s="3" t="n">
        <v>39.68</v>
      </c>
    </row>
    <row r="46">
      <c r="A46" s="2" t="inlineStr">
        <is>
          <t>Brickmo</t>
        </is>
      </c>
      <c r="B46" s="2" t="n">
        <v>75439</v>
      </c>
      <c r="C46" s="2" t="inlineStr">
        <is>
          <t>Lego Star Wars</t>
        </is>
      </c>
      <c r="D46" s="2" t="inlineStr">
        <is>
          <t>LEGO Star Wars 75439 Darth Vader Bust 75439</t>
        </is>
      </c>
      <c r="E46" s="3" t="n">
        <v>40.25</v>
      </c>
    </row>
    <row r="47">
      <c r="A47" s="2" t="inlineStr">
        <is>
          <t>Brickmo</t>
        </is>
      </c>
      <c r="B47" s="2" t="n">
        <v>75438</v>
      </c>
      <c r="C47" s="2" t="inlineStr">
        <is>
          <t>Lego Star Wars</t>
        </is>
      </c>
      <c r="D47" s="2" t="inlineStr">
        <is>
          <t>LEGO Star Wars 75438 Yoda Bust 75438</t>
        </is>
      </c>
      <c r="E47" s="3" t="n">
        <v>31.98</v>
      </c>
    </row>
    <row r="48">
      <c r="A48" s="2" t="inlineStr">
        <is>
          <t>Brickmo</t>
        </is>
      </c>
      <c r="B48" s="2" t="n">
        <v>75446</v>
      </c>
      <c r="C48" s="2" t="inlineStr">
        <is>
          <t>Lego Star Wars</t>
        </is>
      </c>
      <c r="D48" s="2" t="inlineStr">
        <is>
          <t>LEGO Star Wars 75446 Grogu (Mandalorian...</t>
        </is>
      </c>
      <c r="E48" s="3" t="n">
        <v>107.93</v>
      </c>
    </row>
    <row r="49">
      <c r="A49" s="2" t="inlineStr">
        <is>
          <t>Brickmo</t>
        </is>
      </c>
      <c r="B49" s="2" t="n">
        <v>75445</v>
      </c>
      <c r="C49" s="2" t="inlineStr">
        <is>
          <t>Lego Star Wars</t>
        </is>
      </c>
      <c r="D49" s="2" t="inlineStr">
        <is>
          <t>LEGO Star Wars 75445 Anzellan Starship 75445</t>
        </is>
      </c>
      <c r="E49" s="3" t="n">
        <v>60.92</v>
      </c>
    </row>
    <row r="50">
      <c r="A50" s="2" t="inlineStr">
        <is>
          <t>Brickmo</t>
        </is>
      </c>
      <c r="B50" s="2" t="n">
        <v>42692</v>
      </c>
      <c r="C50" s="2" t="inlineStr">
        <is>
          <t>Lego Friends</t>
        </is>
      </c>
      <c r="D50" s="2" t="inlineStr">
        <is>
          <t>LEGO Friends 42692 Ice Cream &amp; Balloon Stand 42692</t>
        </is>
      </c>
      <c r="E50" s="3" t="n">
        <v>7.49</v>
      </c>
    </row>
    <row r="51">
      <c r="A51" s="2" t="inlineStr">
        <is>
          <t>Brickmo</t>
        </is>
      </c>
      <c r="B51" s="2" t="n">
        <v>42648</v>
      </c>
      <c r="C51" s="2" t="inlineStr">
        <is>
          <t>Lego Friends</t>
        </is>
      </c>
      <c r="D51" s="2" t="inlineStr">
        <is>
          <t>LEGO Friends 42648 Panda Sanctuary Animal Care...</t>
        </is>
      </c>
      <c r="E51" s="3" t="n">
        <v>23.72</v>
      </c>
    </row>
    <row r="52">
      <c r="A52" s="2" t="inlineStr">
        <is>
          <t>Brickmo</t>
        </is>
      </c>
      <c r="B52" s="2" t="n">
        <v>42695</v>
      </c>
      <c r="C52" s="2" t="inlineStr">
        <is>
          <t>Lego Friends</t>
        </is>
      </c>
      <c r="D52" s="2" t="inlineStr">
        <is>
          <t>LEGO Friends 42695 Horse &amp; Baby Foal Trailer 42695</t>
        </is>
      </c>
      <c r="E52" s="3" t="n">
        <v>22.27</v>
      </c>
    </row>
    <row r="53">
      <c r="A53" s="2" t="inlineStr">
        <is>
          <t>Brickmo</t>
        </is>
      </c>
      <c r="B53" s="2" t="n">
        <v>42703</v>
      </c>
      <c r="C53" s="2" t="inlineStr">
        <is>
          <t>Lego Friends</t>
        </is>
      </c>
      <c r="D53" s="2" t="inlineStr">
        <is>
          <t>LEGO Friends 42703 Mermaid Roller Coaster Ride...</t>
        </is>
      </c>
      <c r="E53" s="3" t="n">
        <v>77.86</v>
      </c>
    </row>
    <row r="54">
      <c r="A54" s="2" t="inlineStr">
        <is>
          <t>Brickmo</t>
        </is>
      </c>
      <c r="B54" s="2" t="n">
        <v>42690</v>
      </c>
      <c r="C54" s="2" t="inlineStr">
        <is>
          <t>Lego Friends</t>
        </is>
      </c>
      <c r="D54" s="2" t="inlineStr">
        <is>
          <t>LEGO Friends 42690 Forest Tea Party 42690</t>
        </is>
      </c>
      <c r="E54" s="3" t="n">
        <v>7.44</v>
      </c>
    </row>
    <row r="55">
      <c r="A55" s="2" t="inlineStr">
        <is>
          <t>Brickmo</t>
        </is>
      </c>
      <c r="B55" s="2" t="n">
        <v>42700</v>
      </c>
      <c r="C55" s="2" t="inlineStr">
        <is>
          <t>Lego Friends</t>
        </is>
      </c>
      <c r="D55" s="2" t="inlineStr">
        <is>
          <t>LEGO Friends 42700 Candy &amp; Cupcake Ferris Wheel...</t>
        </is>
      </c>
      <c r="E55" s="3" t="n">
        <v>46.71</v>
      </c>
    </row>
    <row r="56">
      <c r="A56" s="2" t="inlineStr">
        <is>
          <t>Brickmo</t>
        </is>
      </c>
      <c r="B56" s="2" t="n">
        <v>42676</v>
      </c>
      <c r="C56" s="2" t="inlineStr">
        <is>
          <t>Lego Friends</t>
        </is>
      </c>
      <c r="D56" s="2" t="inlineStr">
        <is>
          <t>LEGO Friends 42676 Fun Water Park Day 42676</t>
        </is>
      </c>
      <c r="E56" s="3" t="n">
        <v>22.17</v>
      </c>
    </row>
    <row r="57">
      <c r="A57" s="2" t="inlineStr">
        <is>
          <t>Brickmo</t>
        </is>
      </c>
      <c r="B57" s="2" t="n">
        <v>42693</v>
      </c>
      <c r="C57" s="2" t="inlineStr">
        <is>
          <t>Lego Friends</t>
        </is>
      </c>
      <c r="D57" s="2" t="inlineStr">
        <is>
          <t>LEGO Friends 42693 Creative Flower Shop 42693</t>
        </is>
      </c>
      <c r="E57" s="3" t="n">
        <v>22.17</v>
      </c>
    </row>
    <row r="58">
      <c r="A58" s="2" t="inlineStr">
        <is>
          <t>Brickmo</t>
        </is>
      </c>
      <c r="B58" s="2" t="n">
        <v>42704</v>
      </c>
      <c r="C58" s="2" t="inlineStr">
        <is>
          <t>Lego Friends</t>
        </is>
      </c>
      <c r="D58" s="2" t="inlineStr">
        <is>
          <t>LEGO Friends 42704 Heartlake City Grand Hotel...</t>
        </is>
      </c>
      <c r="E58" s="3" t="n">
        <v>122.04</v>
      </c>
    </row>
    <row r="59">
      <c r="A59" s="2" t="inlineStr">
        <is>
          <t>Brickmo</t>
        </is>
      </c>
      <c r="B59" s="2" t="n">
        <v>42682</v>
      </c>
      <c r="C59" s="2" t="inlineStr">
        <is>
          <t>Lego Friends</t>
        </is>
      </c>
      <c r="D59" s="2" t="inlineStr">
        <is>
          <t>LEGO Friends 42682 Nature Glamping Cabin 42682</t>
        </is>
      </c>
      <c r="E59" s="3" t="n">
        <v>18.55</v>
      </c>
    </row>
    <row r="60">
      <c r="A60" s="2" t="inlineStr">
        <is>
          <t>Brickmo</t>
        </is>
      </c>
      <c r="B60" s="2" t="n">
        <v>42694</v>
      </c>
      <c r="C60" s="2" t="inlineStr">
        <is>
          <t>Lego Friends</t>
        </is>
      </c>
      <c r="D60" s="2" t="inlineStr">
        <is>
          <t>LEGO Friends 42694 Pizza Truck 42694</t>
        </is>
      </c>
      <c r="E60" s="3" t="n">
        <v>11.11</v>
      </c>
    </row>
    <row r="61">
      <c r="A61" s="2" t="inlineStr">
        <is>
          <t>Brickmo</t>
        </is>
      </c>
      <c r="B61" s="2" t="n">
        <v>42697</v>
      </c>
      <c r="C61" s="2" t="inlineStr">
        <is>
          <t>Lego Friends</t>
        </is>
      </c>
      <c r="D61" s="2" t="inlineStr">
        <is>
          <t>LEGO Friends 42697 Creative Dollhouse Suitcase...</t>
        </is>
      </c>
      <c r="E61" s="3" t="n">
        <v>38.91</v>
      </c>
    </row>
    <row r="62">
      <c r="A62" s="2" t="inlineStr">
        <is>
          <t>Brickmo</t>
        </is>
      </c>
      <c r="B62" s="2" t="n">
        <v>42705</v>
      </c>
      <c r="C62" s="2" t="inlineStr">
        <is>
          <t>Lego Friends</t>
        </is>
      </c>
      <c r="D62" s="2" t="inlineStr">
        <is>
          <t>LEGO Friends 42705 Cozy Fall Forest Cabin 42705</t>
        </is>
      </c>
      <c r="E62" s="3" t="n">
        <v>77.86</v>
      </c>
    </row>
    <row r="63">
      <c r="A63" s="2" t="inlineStr">
        <is>
          <t>Brickmo</t>
        </is>
      </c>
      <c r="B63" s="2" t="n">
        <v>42702</v>
      </c>
      <c r="C63" s="2" t="inlineStr">
        <is>
          <t>Lego Friends</t>
        </is>
      </c>
      <c r="D63" s="2" t="inlineStr">
        <is>
          <t>LEGO Friends 42702 Spinning Flower &amp; Fairy...</t>
        </is>
      </c>
      <c r="E63" s="3" t="n">
        <v>31.16</v>
      </c>
    </row>
    <row r="64">
      <c r="A64" s="2" t="inlineStr">
        <is>
          <t>Brickmo</t>
        </is>
      </c>
      <c r="B64" s="2" t="n">
        <v>42698</v>
      </c>
      <c r="C64" s="2" t="inlineStr">
        <is>
          <t>Lego Friends</t>
        </is>
      </c>
      <c r="D64" s="2" t="inlineStr">
        <is>
          <t>LEGO Friends 42698 Advent Calendar 2026 42698</t>
        </is>
      </c>
      <c r="E64" s="3" t="n">
        <v>19.94</v>
      </c>
    </row>
    <row r="65">
      <c r="A65" s="2" t="inlineStr">
        <is>
          <t>Brickmo</t>
        </is>
      </c>
      <c r="B65" s="2" t="n">
        <v>42659</v>
      </c>
      <c r="C65" s="2" t="inlineStr">
        <is>
          <t>Lego Friends</t>
        </is>
      </c>
      <c r="D65" s="2" t="inlineStr">
        <is>
          <t>LEGO Friends 42659 Friendship Road-Trip Travel...</t>
        </is>
      </c>
      <c r="E65" s="3" t="n">
        <v>16.48</v>
      </c>
    </row>
    <row r="66">
      <c r="A66" s="2" t="inlineStr">
        <is>
          <t>Brickmo</t>
        </is>
      </c>
      <c r="B66" s="2" t="n">
        <v>42687</v>
      </c>
      <c r="C66" s="2" t="inlineStr">
        <is>
          <t>Lego Friends</t>
        </is>
      </c>
      <c r="D66" s="2" t="inlineStr">
        <is>
          <t>LEGO Friends 42687 Liann's Family House 42687</t>
        </is>
      </c>
      <c r="E66" s="3" t="n">
        <v>54.61</v>
      </c>
    </row>
    <row r="67">
      <c r="A67" s="2" t="inlineStr">
        <is>
          <t>Brickmo</t>
        </is>
      </c>
      <c r="B67" s="2" t="n">
        <v>42663</v>
      </c>
      <c r="C67" s="2" t="inlineStr">
        <is>
          <t>Lego Friends</t>
        </is>
      </c>
      <c r="D67" s="2" t="inlineStr">
        <is>
          <t>LEGO Friends 42663 Friendship Camper Van...</t>
        </is>
      </c>
      <c r="E67" s="3" t="n">
        <v>49.55</v>
      </c>
    </row>
    <row r="68">
      <c r="A68" s="2" t="inlineStr">
        <is>
          <t>Brickmo</t>
        </is>
      </c>
      <c r="B68" s="2" t="n">
        <v>42666</v>
      </c>
      <c r="C68" s="2" t="inlineStr">
        <is>
          <t>Lego Friends</t>
        </is>
      </c>
      <c r="D68" s="2" t="inlineStr">
        <is>
          <t>LEGO Friends 42666 Cat Birthday Party &amp; Tree...</t>
        </is>
      </c>
      <c r="E68" s="3" t="n">
        <v>22.68</v>
      </c>
    </row>
    <row r="69">
      <c r="A69" s="2" t="inlineStr">
        <is>
          <t>Brickmo</t>
        </is>
      </c>
      <c r="B69" s="2" t="n">
        <v>42652</v>
      </c>
      <c r="C69" s="2" t="inlineStr">
        <is>
          <t>Lego Friends</t>
        </is>
      </c>
      <c r="D69" s="2" t="inlineStr">
        <is>
          <t>LEGO Friends 42652 Friendship Tree House...</t>
        </is>
      </c>
      <c r="E69" s="3" t="n">
        <v>61.95</v>
      </c>
    </row>
    <row r="70">
      <c r="A70" s="2" t="inlineStr">
        <is>
          <t>Brickmo</t>
        </is>
      </c>
      <c r="B70" s="2" t="n">
        <v>42681</v>
      </c>
      <c r="C70" s="2" t="inlineStr">
        <is>
          <t>Lego Friends</t>
        </is>
      </c>
      <c r="D70" s="2" t="inlineStr">
        <is>
          <t>LEGO Friends 42681 Axolotl Adventure Boat 42681</t>
        </is>
      </c>
      <c r="E70" s="3" t="n">
        <v>8.529999999999999</v>
      </c>
    </row>
    <row r="71">
      <c r="A71" s="2" t="inlineStr">
        <is>
          <t>Brickmo</t>
        </is>
      </c>
      <c r="B71" s="2" t="n">
        <v>41713</v>
      </c>
      <c r="C71" s="2" t="inlineStr">
        <is>
          <t>Lego Friends</t>
        </is>
      </c>
      <c r="D71" s="2" t="inlineStr">
        <is>
          <t>LEGO Friends 41713 Olivia´s Space Academy 41713</t>
        </is>
      </c>
      <c r="E71" s="3" t="n">
        <v>72.28</v>
      </c>
    </row>
    <row r="72">
      <c r="A72" s="2" t="inlineStr">
        <is>
          <t>Brickmo</t>
        </is>
      </c>
      <c r="B72" s="2" t="n">
        <v>42647</v>
      </c>
      <c r="C72" s="2" t="inlineStr">
        <is>
          <t>Lego Friends</t>
        </is>
      </c>
      <c r="D72" s="2" t="inlineStr">
        <is>
          <t>LEGO Friends 42647 Paisley's Room 42647</t>
        </is>
      </c>
      <c r="E72" s="3" t="n">
        <v>20.62</v>
      </c>
    </row>
    <row r="73">
      <c r="A73" s="2" t="inlineStr">
        <is>
          <t>Brickmo</t>
        </is>
      </c>
      <c r="B73" s="2" t="n">
        <v>42673</v>
      </c>
      <c r="C73" s="2" t="inlineStr">
        <is>
          <t>Lego Friends</t>
        </is>
      </c>
      <c r="D73" s="2" t="inlineStr">
        <is>
          <t>LEGO Friends 42673 Family Vacation Beach Resort...</t>
        </is>
      </c>
      <c r="E73" s="3" t="n">
        <v>108.45</v>
      </c>
    </row>
    <row r="74">
      <c r="A74" s="2" t="inlineStr">
        <is>
          <t>Brickmo</t>
        </is>
      </c>
      <c r="B74" s="2" t="n">
        <v>11378</v>
      </c>
      <c r="C74" s="2" t="inlineStr">
        <is>
          <t>Lego Icons</t>
        </is>
      </c>
      <c r="D74" s="2" t="inlineStr">
        <is>
          <t>LEGO Icons 11378 Douglas DC-3 PAN AM Airliner...</t>
        </is>
      </c>
      <c r="E74" s="3" t="n">
        <v>237.62</v>
      </c>
    </row>
    <row r="75">
      <c r="A75" s="2" t="inlineStr">
        <is>
          <t>Brickmo</t>
        </is>
      </c>
      <c r="B75" s="2" t="n">
        <v>11381</v>
      </c>
      <c r="C75" s="2" t="inlineStr">
        <is>
          <t>Lego Icons</t>
        </is>
      </c>
      <c r="D75" s="2" t="inlineStr">
        <is>
          <t>LEGO Icons 11381 Jaguar E-Type 11381</t>
        </is>
      </c>
      <c r="E75" s="3" t="n">
        <v>115.68</v>
      </c>
    </row>
    <row r="76">
      <c r="A76" s="2" t="inlineStr">
        <is>
          <t>Brickmo</t>
        </is>
      </c>
      <c r="B76" s="2" t="n">
        <v>11383</v>
      </c>
      <c r="C76" s="2" t="inlineStr">
        <is>
          <t>Lego Icons</t>
        </is>
      </c>
      <c r="D76" s="2" t="inlineStr">
        <is>
          <t>LEGO Icons 11383 Mayor Manor 11383</t>
        </is>
      </c>
      <c r="E76" s="3" t="n">
        <v>91.19</v>
      </c>
    </row>
    <row r="77">
      <c r="A77" s="2" t="inlineStr">
        <is>
          <t>Brickmo</t>
        </is>
      </c>
      <c r="B77" s="2" t="n">
        <v>11382</v>
      </c>
      <c r="C77" s="2" t="inlineStr">
        <is>
          <t>Lego Icons</t>
        </is>
      </c>
      <c r="D77" s="2" t="inlineStr">
        <is>
          <t>LEGO Icons 11382 Hubble Space Telescope 11382</t>
        </is>
      </c>
      <c r="E77" s="3" t="n">
        <v>107.42</v>
      </c>
    </row>
    <row r="78">
      <c r="A78" s="2" t="inlineStr">
        <is>
          <t>Brickmo</t>
        </is>
      </c>
      <c r="B78" s="2" t="n">
        <v>10331</v>
      </c>
      <c r="C78" s="2" t="inlineStr">
        <is>
          <t>Lego Icons</t>
        </is>
      </c>
      <c r="D78" s="2" t="inlineStr">
        <is>
          <t>LEGO Icons 10331 Kingfisher Bird 10331</t>
        </is>
      </c>
      <c r="E78" s="3" t="n">
        <v>46.45</v>
      </c>
    </row>
    <row r="79">
      <c r="A79" s="2" t="inlineStr">
        <is>
          <t>Brickmo</t>
        </is>
      </c>
      <c r="B79" s="2" t="n">
        <v>11380</v>
      </c>
      <c r="C79" s="2" t="inlineStr">
        <is>
          <t>Lego Icons</t>
        </is>
      </c>
      <c r="D79" s="2" t="inlineStr">
        <is>
          <t>LEGO Icons 11380 Road Bike 11380</t>
        </is>
      </c>
      <c r="E79" s="3" t="n">
        <v>99.45999999999999</v>
      </c>
    </row>
    <row r="80">
      <c r="A80" s="2" t="inlineStr">
        <is>
          <t>Brickmo</t>
        </is>
      </c>
      <c r="B80" s="2" t="n">
        <v>10360</v>
      </c>
      <c r="C80" s="2" t="inlineStr">
        <is>
          <t>Lego Icons</t>
        </is>
      </c>
      <c r="D80" s="2" t="inlineStr">
        <is>
          <t>LEGO Icons 10360 Shuttle Carrier Aircraft 10360</t>
        </is>
      </c>
      <c r="E80" s="3" t="n">
        <v>237.62</v>
      </c>
    </row>
    <row r="81">
      <c r="A81" s="2" t="inlineStr">
        <is>
          <t>Brickmo</t>
        </is>
      </c>
      <c r="B81" s="2" t="n">
        <v>11371</v>
      </c>
      <c r="C81" s="2" t="inlineStr">
        <is>
          <t>Lego Icons</t>
        </is>
      </c>
      <c r="D81" s="2" t="inlineStr">
        <is>
          <t>LEGO Icons 11371 Shopping Street 11371</t>
        </is>
      </c>
      <c r="E81" s="3" t="n">
        <v>246.97</v>
      </c>
    </row>
    <row r="82">
      <c r="A82" s="2" t="inlineStr">
        <is>
          <t>Brickmo</t>
        </is>
      </c>
      <c r="B82" s="2" t="n">
        <v>10335</v>
      </c>
      <c r="C82" s="2" t="inlineStr">
        <is>
          <t>Lego Icons</t>
        </is>
      </c>
      <c r="D82" s="2" t="inlineStr">
        <is>
          <t>LEGO Icons 10335 The Endurance 10335</t>
        </is>
      </c>
      <c r="E82" s="3" t="n">
        <v>289.28</v>
      </c>
    </row>
    <row r="83">
      <c r="A83" s="2" t="inlineStr">
        <is>
          <t>Brickmo</t>
        </is>
      </c>
      <c r="B83" s="2" t="n">
        <v>10305</v>
      </c>
      <c r="C83" s="2" t="inlineStr">
        <is>
          <t>Lego Icons</t>
        </is>
      </c>
      <c r="D83" s="2" t="inlineStr">
        <is>
          <t>LEGO Icons 10305 Lion Knights' Castle 10305</t>
        </is>
      </c>
      <c r="E83" s="3" t="n">
        <v>594.17</v>
      </c>
    </row>
    <row r="84">
      <c r="A84" s="2" t="inlineStr">
        <is>
          <t>Brickmo</t>
        </is>
      </c>
      <c r="B84" s="2" t="n">
        <v>10307</v>
      </c>
      <c r="C84" s="2" t="inlineStr">
        <is>
          <t>Lego Icons</t>
        </is>
      </c>
      <c r="D84" s="2" t="inlineStr">
        <is>
          <t>LEGO Icons 10307 Eiffel Tower 10307</t>
        </is>
      </c>
      <c r="E84" s="3" t="n">
        <v>707.8200000000001</v>
      </c>
    </row>
    <row r="85">
      <c r="A85" s="2" t="inlineStr">
        <is>
          <t>Brickmo</t>
        </is>
      </c>
      <c r="B85" s="2" t="n">
        <v>11370</v>
      </c>
      <c r="C85" s="2" t="inlineStr">
        <is>
          <t>Lego Icons</t>
        </is>
      </c>
      <c r="D85" s="2" t="inlineStr">
        <is>
          <t>LEGO Icons 11370 Stranger Things: The Creel...</t>
        </is>
      </c>
      <c r="E85" s="3" t="n">
        <v>273.78</v>
      </c>
    </row>
    <row r="86">
      <c r="A86" s="2" t="inlineStr">
        <is>
          <t>Brickmo</t>
        </is>
      </c>
      <c r="B86" s="2" t="n">
        <v>10333</v>
      </c>
      <c r="C86" s="2" t="inlineStr">
        <is>
          <t>Lego Icons</t>
        </is>
      </c>
      <c r="D86" s="2" t="inlineStr">
        <is>
          <t>LEGO Icons 10333 The Lord of the Rings:...</t>
        </is>
      </c>
      <c r="E86" s="3" t="n">
        <v>501.17</v>
      </c>
    </row>
    <row r="87">
      <c r="A87" s="2" t="inlineStr">
        <is>
          <t>Brickmo</t>
        </is>
      </c>
      <c r="B87" s="2" t="n">
        <v>10337</v>
      </c>
      <c r="C87" s="2" t="inlineStr">
        <is>
          <t>Lego Icons</t>
        </is>
      </c>
      <c r="D87" s="2" t="inlineStr">
        <is>
          <t>LEGO Icons 10337 Lamborghini Countach 5000...</t>
        </is>
      </c>
      <c r="E87" s="3" t="n">
        <v>175.62</v>
      </c>
    </row>
    <row r="88">
      <c r="A88" s="2" t="inlineStr">
        <is>
          <t>Brickmo</t>
        </is>
      </c>
      <c r="B88" s="2" t="n">
        <v>43018</v>
      </c>
      <c r="C88" s="2" t="inlineStr">
        <is>
          <t>Lego Icons</t>
        </is>
      </c>
      <c r="D88" s="2" t="inlineStr">
        <is>
          <t>LEGO Editions 43018 Lionel Messi – Celebration...</t>
        </is>
      </c>
      <c r="E88" s="3" t="n">
        <v>149.78</v>
      </c>
    </row>
    <row r="89">
      <c r="A89" s="2" t="inlineStr">
        <is>
          <t>Brickmo</t>
        </is>
      </c>
      <c r="B89" s="2" t="n">
        <v>10362</v>
      </c>
      <c r="C89" s="2" t="inlineStr">
        <is>
          <t>Lego Icons</t>
        </is>
      </c>
      <c r="D89" s="2" t="inlineStr">
        <is>
          <t>LEGO Icons 10362 French Café 10362</t>
        </is>
      </c>
      <c r="E89" s="3" t="n">
        <v>65.09</v>
      </c>
    </row>
    <row r="90">
      <c r="A90" s="2" t="inlineStr">
        <is>
          <t>Brickmo</t>
        </is>
      </c>
      <c r="B90" s="2" t="n">
        <v>10328</v>
      </c>
      <c r="C90" s="2" t="inlineStr">
        <is>
          <t>Lego Icons</t>
        </is>
      </c>
      <c r="D90" s="2" t="inlineStr">
        <is>
          <t>LEGO Icons 10328 Bouquet of Roses 10328</t>
        </is>
      </c>
      <c r="E90" s="3" t="n">
        <v>49.55</v>
      </c>
    </row>
    <row r="91">
      <c r="A91" s="2" t="inlineStr">
        <is>
          <t>Brickmo</t>
        </is>
      </c>
      <c r="B91" s="2" t="n">
        <v>11384</v>
      </c>
      <c r="C91" s="2" t="inlineStr">
        <is>
          <t>Lego Icons</t>
        </is>
      </c>
      <c r="D91" s="2" t="inlineStr">
        <is>
          <t>LEGO Icons 11384 Golden Retriever Puppy 11384</t>
        </is>
      </c>
      <c r="E91" s="3" t="n">
        <v>112.63</v>
      </c>
    </row>
    <row r="92">
      <c r="A92" s="2" t="inlineStr">
        <is>
          <t>Brickmo</t>
        </is>
      </c>
      <c r="B92" s="2" t="n">
        <v>11375</v>
      </c>
      <c r="C92" s="2" t="inlineStr">
        <is>
          <t>Lego Icons</t>
        </is>
      </c>
      <c r="D92" s="2" t="inlineStr">
        <is>
          <t>LEGO Icons 11375 Ferrari F2004 &amp; Michael...</t>
        </is>
      </c>
      <c r="E92" s="3" t="n">
        <v>72.28</v>
      </c>
    </row>
    <row r="93">
      <c r="A93" s="2" t="inlineStr">
        <is>
          <t>Brickmo</t>
        </is>
      </c>
      <c r="B93" s="2" t="n">
        <v>11373</v>
      </c>
      <c r="C93" s="2" t="inlineStr">
        <is>
          <t>Lego Icons</t>
        </is>
      </c>
      <c r="D93" s="2" t="inlineStr">
        <is>
          <t>LEGO Icons 11373 The Lord of the Rings:...</t>
        </is>
      </c>
      <c r="E93" s="3" t="n">
        <v>61.95</v>
      </c>
    </row>
    <row r="94">
      <c r="A94" s="2" t="inlineStr">
        <is>
          <t>Brickmo</t>
        </is>
      </c>
      <c r="B94" s="2" t="n">
        <v>11376</v>
      </c>
      <c r="C94" s="2" t="inlineStr">
        <is>
          <t>Lego Icons</t>
        </is>
      </c>
      <c r="D94" s="2" t="inlineStr">
        <is>
          <t>LEGO Icons 11376 Ford Model T 11376</t>
        </is>
      </c>
      <c r="E94" s="3" t="n">
        <v>108.45</v>
      </c>
    </row>
    <row r="95">
      <c r="A95" s="2" t="inlineStr">
        <is>
          <t>Brickmo</t>
        </is>
      </c>
      <c r="B95" s="2" t="n">
        <v>10356</v>
      </c>
      <c r="C95" s="2" t="inlineStr">
        <is>
          <t>Lego Icons</t>
        </is>
      </c>
      <c r="D95" s="2" t="inlineStr">
        <is>
          <t>LEGO Icons 10356 Star Trek: U.S.S. Enterprise...</t>
        </is>
      </c>
      <c r="E95" s="3" t="n">
        <v>392.66</v>
      </c>
    </row>
    <row r="96">
      <c r="A96" s="2" t="inlineStr">
        <is>
          <t>Brickmo</t>
        </is>
      </c>
      <c r="B96" s="2" t="n">
        <v>10365</v>
      </c>
      <c r="C96" s="2" t="inlineStr">
        <is>
          <t>Lego Icons</t>
        </is>
      </c>
      <c r="D96" s="2" t="inlineStr">
        <is>
          <t>LEGO Icons 10365 Captain Jack Sparrow's Pirate...</t>
        </is>
      </c>
      <c r="E96" s="3" t="n">
        <v>361.66</v>
      </c>
    </row>
    <row r="97">
      <c r="A97" s="2" t="inlineStr">
        <is>
          <t>Brickmo</t>
        </is>
      </c>
      <c r="B97" s="2" t="n">
        <v>10315</v>
      </c>
      <c r="C97" s="2" t="inlineStr">
        <is>
          <t>Lego Icons</t>
        </is>
      </c>
      <c r="D97" s="2" t="inlineStr">
        <is>
          <t>LEGO Icons 10315 Tranquil Garden 10315</t>
        </is>
      </c>
      <c r="E97" s="3" t="n">
        <v>98.12</v>
      </c>
    </row>
    <row r="98">
      <c r="A98" s="2" t="inlineStr">
        <is>
          <t>bricksdirect</t>
        </is>
      </c>
      <c r="B98" s="2" t="n">
        <v>60512</v>
      </c>
      <c r="C98" s="2" t="inlineStr">
        <is>
          <t>Lego City</t>
        </is>
      </c>
      <c r="D98" s="2" t="inlineStr">
        <is>
          <t>LEGO 60512 Mountain Bike Adventure Van</t>
        </is>
      </c>
      <c r="E98" s="3" t="n">
        <v>33.23</v>
      </c>
    </row>
    <row r="99">
      <c r="A99" s="2" t="inlineStr">
        <is>
          <t>bricksdirect</t>
        </is>
      </c>
      <c r="B99" s="2" t="n">
        <v>60511</v>
      </c>
      <c r="C99" s="2" t="inlineStr">
        <is>
          <t>Lego City</t>
        </is>
      </c>
      <c r="D99" s="2" t="inlineStr">
        <is>
          <t>LEGO 60511 Vintage Steam Train</t>
        </is>
      </c>
      <c r="E99" s="3" t="n">
        <v>85.29000000000001</v>
      </c>
    </row>
    <row r="100">
      <c r="A100" s="2" t="inlineStr">
        <is>
          <t>bricksdirect</t>
        </is>
      </c>
      <c r="B100" s="2" t="n">
        <v>60510</v>
      </c>
      <c r="C100" s="2" t="inlineStr">
        <is>
          <t>Lego City</t>
        </is>
      </c>
      <c r="D100" s="2" t="inlineStr">
        <is>
          <t>LEGO 60510 Advent Calendar 2026, City (Pre order, will be shipped on 01/09/2026)</t>
        </is>
      </c>
      <c r="E100" s="3" t="n">
        <v>25.47</v>
      </c>
    </row>
    <row r="101">
      <c r="A101" s="2" t="inlineStr">
        <is>
          <t>bricksdirect</t>
        </is>
      </c>
      <c r="B101" s="2" t="n">
        <v>60509</v>
      </c>
      <c r="C101" s="2" t="inlineStr">
        <is>
          <t>Lego City</t>
        </is>
      </c>
      <c r="D101" s="2" t="inlineStr">
        <is>
          <t>LEGO 60509 Harbor Freight Train with Crane &amp; Truck</t>
        </is>
      </c>
      <c r="E101" s="3" t="n">
        <v>121.85</v>
      </c>
    </row>
    <row r="102">
      <c r="A102" s="2" t="inlineStr">
        <is>
          <t>bricksdirect</t>
        </is>
      </c>
      <c r="B102" s="2" t="n">
        <v>60508</v>
      </c>
      <c r="C102" s="2" t="inlineStr">
        <is>
          <t>Lego City</t>
        </is>
      </c>
      <c r="D102" s="2" t="inlineStr">
        <is>
          <t>LEGO 60508 Police Train Heist</t>
        </is>
      </c>
      <c r="E102" s="3" t="n">
        <v>188.33</v>
      </c>
    </row>
    <row r="103">
      <c r="A103" s="2" t="inlineStr">
        <is>
          <t>bricksdirect</t>
        </is>
      </c>
      <c r="B103" s="2" t="n">
        <v>60506</v>
      </c>
      <c r="C103" s="2" t="inlineStr">
        <is>
          <t>Lego City</t>
        </is>
      </c>
      <c r="D103" s="2" t="inlineStr">
        <is>
          <t>LEGO 60506 Classic Beach Streetcar</t>
        </is>
      </c>
      <c r="E103" s="3" t="n">
        <v>66.45999999999999</v>
      </c>
    </row>
    <row r="104">
      <c r="A104" s="2" t="inlineStr">
        <is>
          <t>bricksdirect</t>
        </is>
      </c>
      <c r="B104" s="2" t="n">
        <v>60505</v>
      </c>
      <c r="C104" s="2" t="inlineStr">
        <is>
          <t>Lego City</t>
        </is>
      </c>
      <c r="D104" s="2" t="inlineStr">
        <is>
          <t>LEGO 60505 Airplane, Service Truck &amp; Hovercraft Remix</t>
        </is>
      </c>
      <c r="E104" s="3" t="n">
        <v>66.45999999999999</v>
      </c>
    </row>
    <row r="105">
      <c r="A105" s="2" t="inlineStr">
        <is>
          <t>bricksdirect</t>
        </is>
      </c>
      <c r="B105" s="2" t="n">
        <v>60504</v>
      </c>
      <c r="C105" s="2" t="inlineStr">
        <is>
          <t>Lego City</t>
        </is>
      </c>
      <c r="D105" s="2" t="inlineStr">
        <is>
          <t>LEGO 60504 Coast Guard Rescue Boat &amp; Helicopter</t>
        </is>
      </c>
      <c r="E105" s="3" t="n">
        <v>104.13</v>
      </c>
    </row>
    <row r="106">
      <c r="A106" s="2" t="inlineStr">
        <is>
          <t>bricksdirect</t>
        </is>
      </c>
      <c r="B106" s="2" t="n">
        <v>60503</v>
      </c>
      <c r="C106" s="2" t="inlineStr">
        <is>
          <t>Lego City</t>
        </is>
      </c>
      <c r="D106" s="2" t="inlineStr">
        <is>
          <t>LEGO 60503 Coast Guard Helicopter</t>
        </is>
      </c>
      <c r="E106" s="3" t="n">
        <v>56.49</v>
      </c>
    </row>
    <row r="107">
      <c r="A107" s="2" t="inlineStr">
        <is>
          <t>bricksdirect</t>
        </is>
      </c>
      <c r="B107" s="2" t="n">
        <v>60502</v>
      </c>
      <c r="C107" s="2" t="inlineStr">
        <is>
          <t>Lego City</t>
        </is>
      </c>
      <c r="D107" s="2" t="inlineStr">
        <is>
          <t>LEGO 60502 Airport with Airplane</t>
        </is>
      </c>
      <c r="E107" s="3" t="n">
        <v>110.78</v>
      </c>
    </row>
    <row r="108">
      <c r="A108" s="2" t="inlineStr">
        <is>
          <t>bricksdirect</t>
        </is>
      </c>
      <c r="B108" s="2" t="n">
        <v>60501</v>
      </c>
      <c r="C108" s="2" t="inlineStr">
        <is>
          <t>Lego City</t>
        </is>
      </c>
      <c r="D108" s="2" t="inlineStr">
        <is>
          <t>LEGO 60501 Lava Land Roller Coaster Park</t>
        </is>
      </c>
      <c r="E108" s="3" t="n">
        <v>121.85</v>
      </c>
    </row>
    <row r="109">
      <c r="A109" s="2" t="inlineStr">
        <is>
          <t>bricksdirect</t>
        </is>
      </c>
      <c r="B109" s="2" t="n">
        <v>60500</v>
      </c>
      <c r="C109" s="2" t="inlineStr">
        <is>
          <t>Lego City</t>
        </is>
      </c>
      <c r="D109" s="2" t="inlineStr">
        <is>
          <t>LEGO 60500 The Van</t>
        </is>
      </c>
      <c r="E109" s="3" t="n">
        <v>28.79</v>
      </c>
    </row>
    <row r="110">
      <c r="A110" s="2" t="inlineStr">
        <is>
          <t>bricksdirect</t>
        </is>
      </c>
      <c r="B110" s="2" t="n">
        <v>60499</v>
      </c>
      <c r="C110" s="2" t="inlineStr">
        <is>
          <t>Lego City</t>
        </is>
      </c>
      <c r="D110" s="2" t="inlineStr">
        <is>
          <t>LEGO 60499 Airport Fire Truck</t>
        </is>
      </c>
      <c r="E110" s="3" t="n">
        <v>77.54000000000001</v>
      </c>
    </row>
    <row r="111">
      <c r="A111" s="2" t="inlineStr">
        <is>
          <t>bricksdirect</t>
        </is>
      </c>
      <c r="B111" s="2" t="n">
        <v>60498</v>
      </c>
      <c r="C111" s="2" t="inlineStr">
        <is>
          <t>Lego City</t>
        </is>
      </c>
      <c r="D111" s="2" t="inlineStr">
        <is>
          <t>LEGO 60498 Tractor</t>
        </is>
      </c>
      <c r="E111" s="3" t="n">
        <v>18.82</v>
      </c>
    </row>
    <row r="112">
      <c r="A112" s="2" t="inlineStr">
        <is>
          <t>bricksdirect</t>
        </is>
      </c>
      <c r="B112" s="2" t="n">
        <v>60497</v>
      </c>
      <c r="C112" s="2" t="inlineStr">
        <is>
          <t>Lego City</t>
        </is>
      </c>
      <c r="D112" s="2" t="inlineStr">
        <is>
          <t>LEGO 60497 Drive-Through Car Wash</t>
        </is>
      </c>
      <c r="E112" s="3" t="n">
        <v>52.06</v>
      </c>
    </row>
    <row r="113">
      <c r="A113" s="2" t="inlineStr">
        <is>
          <t>bricksdirect</t>
        </is>
      </c>
      <c r="B113" s="2" t="n">
        <v>60496</v>
      </c>
      <c r="C113" s="2" t="inlineStr">
        <is>
          <t>Lego City</t>
        </is>
      </c>
      <c r="D113" s="2" t="inlineStr">
        <is>
          <t>LEGO 60496 Pizza Delivery Experience with Vehicles</t>
        </is>
      </c>
      <c r="E113" s="3" t="n">
        <v>47.63</v>
      </c>
    </row>
    <row r="114">
      <c r="A114" s="2" t="inlineStr">
        <is>
          <t>bricksdirect</t>
        </is>
      </c>
      <c r="B114" s="2" t="n">
        <v>60495</v>
      </c>
      <c r="C114" s="2" t="inlineStr">
        <is>
          <t>Lego City</t>
        </is>
      </c>
      <c r="D114" s="2" t="inlineStr">
        <is>
          <t>LEGO 60495 Recycling Truck</t>
        </is>
      </c>
      <c r="E114" s="3" t="n">
        <v>60.92</v>
      </c>
    </row>
    <row r="115">
      <c r="A115" s="2" t="inlineStr">
        <is>
          <t>bricksdirect</t>
        </is>
      </c>
      <c r="B115" s="2" t="n">
        <v>60494</v>
      </c>
      <c r="C115" s="2" t="inlineStr">
        <is>
          <t>Lego City</t>
        </is>
      </c>
      <c r="D115" s="2" t="inlineStr">
        <is>
          <t>LEGO 60494 Dump Truck &amp; Front End Loader</t>
        </is>
      </c>
      <c r="E115" s="3" t="n">
        <v>112.99</v>
      </c>
    </row>
    <row r="116">
      <c r="A116" s="2" t="inlineStr">
        <is>
          <t>bricksdirect</t>
        </is>
      </c>
      <c r="B116" s="2" t="n">
        <v>60493</v>
      </c>
      <c r="C116" s="2" t="inlineStr">
        <is>
          <t>Lego City</t>
        </is>
      </c>
      <c r="D116" s="2" t="inlineStr">
        <is>
          <t>LEGO 60493 F1 Display Truck with Audi F1 Race Car</t>
        </is>
      </c>
      <c r="E116" s="3" t="n">
        <v>43.19</v>
      </c>
    </row>
    <row r="117">
      <c r="A117" s="2" t="inlineStr">
        <is>
          <t>bricksdirect</t>
        </is>
      </c>
      <c r="B117" s="2" t="n">
        <v>60492</v>
      </c>
      <c r="C117" s="2" t="inlineStr">
        <is>
          <t>Lego City</t>
        </is>
      </c>
      <c r="D117" s="2" t="inlineStr">
        <is>
          <t>LEGO 60492 Passenger Jet</t>
        </is>
      </c>
      <c r="E117" s="3" t="n">
        <v>28.79</v>
      </c>
    </row>
    <row r="118">
      <c r="A118" s="2" t="inlineStr">
        <is>
          <t>bricksdirect</t>
        </is>
      </c>
      <c r="B118" s="2" t="n">
        <v>60491</v>
      </c>
      <c r="C118" s="2" t="inlineStr">
        <is>
          <t>Lego City</t>
        </is>
      </c>
      <c r="D118" s="2" t="inlineStr">
        <is>
          <t>LEGO 60491 Motorcycle Transporter</t>
        </is>
      </c>
      <c r="E118" s="3" t="n">
        <v>18.82</v>
      </c>
    </row>
    <row r="119">
      <c r="A119" s="2" t="inlineStr">
        <is>
          <t>bricksdirect</t>
        </is>
      </c>
      <c r="B119" s="2" t="n">
        <v>60490</v>
      </c>
      <c r="C119" s="2" t="inlineStr">
        <is>
          <t>Lego City</t>
        </is>
      </c>
      <c r="D119" s="2" t="inlineStr">
        <is>
          <t>LEGO 60490 Snowplow</t>
        </is>
      </c>
      <c r="E119" s="3" t="n">
        <v>24.36</v>
      </c>
    </row>
    <row r="120">
      <c r="A120" s="2" t="inlineStr">
        <is>
          <t>bricksdirect</t>
        </is>
      </c>
      <c r="B120" s="2" t="n">
        <v>60489</v>
      </c>
      <c r="C120" s="2" t="inlineStr">
        <is>
          <t>Lego City</t>
        </is>
      </c>
      <c r="D120" s="2" t="inlineStr">
        <is>
          <t>LEGO 60489 Jet vs. Car</t>
        </is>
      </c>
      <c r="E120" s="3" t="n">
        <v>28.79</v>
      </c>
    </row>
    <row r="121">
      <c r="A121" s="2" t="inlineStr">
        <is>
          <t>bricksdirect</t>
        </is>
      </c>
      <c r="B121" s="2" t="n">
        <v>60488</v>
      </c>
      <c r="C121" s="2" t="inlineStr">
        <is>
          <t>Lego City</t>
        </is>
      </c>
      <c r="D121" s="2" t="inlineStr">
        <is>
          <t>LEGO 60488 Fries Food Truck</t>
        </is>
      </c>
      <c r="E121" s="3" t="n">
        <v>22.15</v>
      </c>
    </row>
    <row r="122">
      <c r="A122" s="2" t="inlineStr">
        <is>
          <t>bricksdirect</t>
        </is>
      </c>
      <c r="B122" s="2" t="n">
        <v>60487</v>
      </c>
      <c r="C122" s="2" t="inlineStr">
        <is>
          <t>Lego City</t>
        </is>
      </c>
      <c r="D122" s="2" t="inlineStr">
        <is>
          <t>LEGO 60487 Yellow Taxi</t>
        </is>
      </c>
      <c r="E122" s="3" t="n">
        <v>16.61</v>
      </c>
    </row>
    <row r="123">
      <c r="A123" s="2" t="inlineStr">
        <is>
          <t>bricksdirect</t>
        </is>
      </c>
      <c r="B123" s="2" t="n">
        <v>60486</v>
      </c>
      <c r="C123" s="2" t="inlineStr">
        <is>
          <t>Lego City</t>
        </is>
      </c>
      <c r="D123" s="2" t="inlineStr">
        <is>
          <t>LEGO 60486 EV Supercar</t>
        </is>
      </c>
      <c r="E123" s="3" t="n">
        <v>9.960000000000001</v>
      </c>
    </row>
    <row r="124">
      <c r="A124" s="2" t="inlineStr">
        <is>
          <t>bricksdirect</t>
        </is>
      </c>
      <c r="B124" s="2" t="n">
        <v>60485</v>
      </c>
      <c r="C124" s="2" t="inlineStr">
        <is>
          <t>Lego City</t>
        </is>
      </c>
      <c r="D124" s="2" t="inlineStr">
        <is>
          <t>LEGO 60485 Hot Rod</t>
        </is>
      </c>
      <c r="E124" s="3" t="n">
        <v>9.960000000000001</v>
      </c>
    </row>
    <row r="125">
      <c r="A125" s="2" t="inlineStr">
        <is>
          <t>bricksdirect</t>
        </is>
      </c>
      <c r="B125" s="2" t="n">
        <v>60484</v>
      </c>
      <c r="C125" s="2" t="inlineStr">
        <is>
          <t>Lego City</t>
        </is>
      </c>
      <c r="D125" s="2" t="inlineStr">
        <is>
          <t>LEGO 60484 Rides – Gaming Race Car</t>
        </is>
      </c>
      <c r="E125" s="3" t="n">
        <v>9.960000000000001</v>
      </c>
    </row>
    <row r="126">
      <c r="A126" s="2" t="inlineStr">
        <is>
          <t>bricksdirect</t>
        </is>
      </c>
      <c r="B126" s="2" t="n">
        <v>60483</v>
      </c>
      <c r="C126" s="2" t="inlineStr">
        <is>
          <t>Lego City</t>
        </is>
      </c>
      <c r="D126" s="2" t="inlineStr">
        <is>
          <t>LEGO 60483 Rides – Construction Loader</t>
        </is>
      </c>
      <c r="E126" s="3" t="n">
        <v>9.960000000000001</v>
      </c>
    </row>
    <row r="127">
      <c r="A127" s="2" t="inlineStr">
        <is>
          <t>bricksdirect</t>
        </is>
      </c>
      <c r="B127" s="2" t="n">
        <v>60482</v>
      </c>
      <c r="C127" s="2" t="inlineStr">
        <is>
          <t>Lego City</t>
        </is>
      </c>
      <c r="D127" s="2" t="inlineStr">
        <is>
          <t>LEGO 60482 Rides – Fire Truck</t>
        </is>
      </c>
      <c r="E127" s="3" t="n">
        <v>9.960000000000001</v>
      </c>
    </row>
    <row r="128">
      <c r="A128" s="2" t="inlineStr">
        <is>
          <t>bricksdirect</t>
        </is>
      </c>
      <c r="B128" s="2" t="n">
        <v>60481</v>
      </c>
      <c r="C128" s="2" t="inlineStr">
        <is>
          <t>Lego City</t>
        </is>
      </c>
      <c r="D128" s="2" t="inlineStr">
        <is>
          <t>LEGO 60481 Rides – Police Truck</t>
        </is>
      </c>
      <c r="E128" s="3" t="n">
        <v>9.960000000000001</v>
      </c>
    </row>
    <row r="129">
      <c r="A129" s="2" t="inlineStr">
        <is>
          <t>bricksdirect</t>
        </is>
      </c>
      <c r="B129" s="2" t="n">
        <v>60480</v>
      </c>
      <c r="C129" s="2" t="inlineStr">
        <is>
          <t>Lego City</t>
        </is>
      </c>
      <c r="D129" s="2" t="inlineStr">
        <is>
          <t>LEGO 60480 Yellow Backhoe Loader</t>
        </is>
      </c>
      <c r="E129" s="3" t="n">
        <v>28.79</v>
      </c>
    </row>
    <row r="130">
      <c r="A130" s="2" t="inlineStr">
        <is>
          <t>bricksdirect</t>
        </is>
      </c>
      <c r="B130" s="2" t="n">
        <v>60479</v>
      </c>
      <c r="C130" s="2" t="inlineStr">
        <is>
          <t>Lego City</t>
        </is>
      </c>
      <c r="D130" s="2" t="inlineStr">
        <is>
          <t>LEGO 60479 Police Prisoner Transport Van</t>
        </is>
      </c>
      <c r="E130" s="3" t="n">
        <v>18.82</v>
      </c>
    </row>
    <row r="131">
      <c r="A131" s="2" t="inlineStr">
        <is>
          <t>bricksdirect</t>
        </is>
      </c>
      <c r="B131" s="2" t="n">
        <v>60478</v>
      </c>
      <c r="C131" s="2" t="inlineStr">
        <is>
          <t>Lego City</t>
        </is>
      </c>
      <c r="D131" s="2" t="inlineStr">
        <is>
          <t>LEGO 60478 Cement Mixer</t>
        </is>
      </c>
      <c r="E131" s="3" t="n">
        <v>37.66</v>
      </c>
    </row>
    <row r="132">
      <c r="A132" s="2" t="inlineStr">
        <is>
          <t>bricksdirect</t>
        </is>
      </c>
      <c r="B132" s="2" t="n">
        <v>60474</v>
      </c>
      <c r="C132" s="2" t="inlineStr">
        <is>
          <t>Lego City</t>
        </is>
      </c>
      <c r="D132" s="2" t="inlineStr">
        <is>
          <t>LEGO 60474 F1 Grid with VCARB &amp; Sauber Race Cars</t>
        </is>
      </c>
      <c r="E132" s="3" t="n">
        <v>44.3</v>
      </c>
    </row>
    <row r="133">
      <c r="A133" s="2" t="inlineStr">
        <is>
          <t>bricksdirect</t>
        </is>
      </c>
      <c r="B133" s="2" t="n">
        <v>60473</v>
      </c>
      <c r="C133" s="2" t="inlineStr">
        <is>
          <t>Lego City</t>
        </is>
      </c>
      <c r="D133" s="2" t="inlineStr">
        <is>
          <t>LEGO 60473 The City Tower</t>
        </is>
      </c>
      <c r="E133" s="3" t="n">
        <v>232.64</v>
      </c>
    </row>
    <row r="134">
      <c r="A134" s="2" t="inlineStr">
        <is>
          <t>bricksdirect</t>
        </is>
      </c>
      <c r="B134" s="2" t="n">
        <v>60471</v>
      </c>
      <c r="C134" s="2" t="inlineStr">
        <is>
          <t>Lego City</t>
        </is>
      </c>
      <c r="D134" s="2" t="inlineStr">
        <is>
          <t>LEGO 60471 Arctic Explorer Science Lab Truck</t>
        </is>
      </c>
      <c r="E134" s="3" t="n">
        <v>98.59</v>
      </c>
    </row>
    <row r="135">
      <c r="A135" s="2" t="inlineStr">
        <is>
          <t>bricksdirect</t>
        </is>
      </c>
      <c r="B135" s="2" t="n">
        <v>60470</v>
      </c>
      <c r="C135" s="2" t="inlineStr">
        <is>
          <t>Lego City</t>
        </is>
      </c>
      <c r="D135" s="2" t="inlineStr">
        <is>
          <t>LEGO 60470 Explorers’ Arctic Polar Express Train</t>
        </is>
      </c>
      <c r="E135" s="3" t="n">
        <v>221.56</v>
      </c>
    </row>
    <row r="136">
      <c r="A136" s="2" t="inlineStr">
        <is>
          <t>bricksdirect</t>
        </is>
      </c>
      <c r="B136" s="2" t="n">
        <v>60469</v>
      </c>
      <c r="C136" s="2" t="inlineStr">
        <is>
          <t>Lego City</t>
        </is>
      </c>
      <c r="D136" s="2" t="inlineStr">
        <is>
          <t>LEGO 60469 Central Train Station</t>
        </is>
      </c>
      <c r="E136" s="3" t="n">
        <v>77.54000000000001</v>
      </c>
    </row>
    <row r="137">
      <c r="A137" s="2" t="inlineStr">
        <is>
          <t>bricksdirect</t>
        </is>
      </c>
      <c r="B137" s="2" t="n">
        <v>60467</v>
      </c>
      <c r="C137" s="2" t="inlineStr">
        <is>
          <t>Lego City</t>
        </is>
      </c>
      <c r="D137" s="2" t="inlineStr">
        <is>
          <t>LEGO 60467 Heavy-Duty Recovery Tow Truck with Crane</t>
        </is>
      </c>
      <c r="E137" s="3" t="n">
        <v>99.7</v>
      </c>
    </row>
    <row r="138">
      <c r="A138" s="2" t="inlineStr">
        <is>
          <t>bricksdirect</t>
        </is>
      </c>
      <c r="B138" s="2" t="n">
        <v>60466</v>
      </c>
      <c r="C138" s="2" t="inlineStr">
        <is>
          <t>Lego City</t>
        </is>
      </c>
      <c r="D138" s="2" t="inlineStr">
        <is>
          <t>LEGO 60466 Yellow Bulldozer</t>
        </is>
      </c>
      <c r="E138" s="3" t="n">
        <v>66.45999999999999</v>
      </c>
    </row>
    <row r="139">
      <c r="A139" s="2" t="inlineStr">
        <is>
          <t>bricksdirect</t>
        </is>
      </c>
      <c r="B139" s="2" t="n">
        <v>60465</v>
      </c>
      <c r="C139" s="2" t="inlineStr">
        <is>
          <t>Lego City</t>
        </is>
      </c>
      <c r="D139" s="2" t="inlineStr">
        <is>
          <t>LEGO 60465 Emergency Air Ambulance Airplane</t>
        </is>
      </c>
      <c r="E139" s="3" t="n">
        <v>55.38</v>
      </c>
    </row>
    <row r="140">
      <c r="A140" s="2" t="inlineStr">
        <is>
          <t>bricksdirect</t>
        </is>
      </c>
      <c r="B140" s="2" t="n">
        <v>60464</v>
      </c>
      <c r="C140" s="2" t="inlineStr">
        <is>
          <t>Lego City</t>
        </is>
      </c>
      <c r="D140" s="2" t="inlineStr">
        <is>
          <t>LEGO 60464 F1 Williams Racing &amp; Haas F1 Race Cars</t>
        </is>
      </c>
      <c r="E140" s="3" t="n">
        <v>17.71</v>
      </c>
    </row>
    <row r="141">
      <c r="A141" s="2" t="inlineStr">
        <is>
          <t>bricksdirect</t>
        </is>
      </c>
      <c r="B141" s="2" t="n">
        <v>60463</v>
      </c>
      <c r="C141" s="2" t="inlineStr">
        <is>
          <t>Lego City</t>
        </is>
      </c>
      <c r="D141" s="2" t="inlineStr">
        <is>
          <t>LEGO 60463 Fire Ladder Truck</t>
        </is>
      </c>
      <c r="E141" s="3" t="n">
        <v>17.71</v>
      </c>
    </row>
    <row r="142">
      <c r="A142" s="2" t="inlineStr">
        <is>
          <t>bricksdirect</t>
        </is>
      </c>
      <c r="B142" s="2" t="n">
        <v>60462</v>
      </c>
      <c r="C142" s="2" t="inlineStr">
        <is>
          <t>Lego City</t>
        </is>
      </c>
      <c r="D142" s="2" t="inlineStr">
        <is>
          <t>LEGO 60462 Helicopter, Fire Truck &amp; Submarine Remix</t>
        </is>
      </c>
      <c r="E142" s="3" t="n">
        <v>66.45999999999999</v>
      </c>
    </row>
    <row r="143">
      <c r="A143" s="2" t="inlineStr">
        <is>
          <t>bricksdirect</t>
        </is>
      </c>
      <c r="B143" s="2" t="n">
        <v>60459</v>
      </c>
      <c r="C143" s="2" t="inlineStr">
        <is>
          <t>Lego City</t>
        </is>
      </c>
      <c r="D143" s="2" t="inlineStr">
        <is>
          <t>LEGO 60459 Airplane vs. Hospital Bed Race Car Pack</t>
        </is>
      </c>
      <c r="E143" s="3" t="n">
        <v>11.07</v>
      </c>
    </row>
    <row r="144">
      <c r="A144" s="2" t="inlineStr">
        <is>
          <t>bricksdirect</t>
        </is>
      </c>
      <c r="B144" s="2" t="n">
        <v>60458</v>
      </c>
      <c r="C144" s="2" t="inlineStr">
        <is>
          <t>Lego City</t>
        </is>
      </c>
      <c r="D144" s="2" t="inlineStr">
        <is>
          <t>LEGO 60458 Pizza vs. Fire Truck Race Car Pack</t>
        </is>
      </c>
      <c r="E144" s="3" t="n">
        <v>11.07</v>
      </c>
    </row>
    <row r="145">
      <c r="A145" s="2" t="inlineStr">
        <is>
          <t>bricksdirect</t>
        </is>
      </c>
      <c r="B145" s="2" t="n">
        <v>60457</v>
      </c>
      <c r="C145" s="2" t="inlineStr">
        <is>
          <t>Lego City</t>
        </is>
      </c>
      <c r="D145" s="2" t="inlineStr">
        <is>
          <t>LEGO 60457 Custom Police Car Garage</t>
        </is>
      </c>
      <c r="E145" s="3" t="n">
        <v>66.45999999999999</v>
      </c>
    </row>
    <row r="146">
      <c r="A146" s="2" t="inlineStr">
        <is>
          <t>bricksdirect</t>
        </is>
      </c>
      <c r="B146" s="2" t="n">
        <v>60456</v>
      </c>
      <c r="C146" s="2" t="inlineStr">
        <is>
          <t>Lego City</t>
        </is>
      </c>
      <c r="D146" s="2" t="inlineStr">
        <is>
          <t>LEGO 60456 Police Boat Chase</t>
        </is>
      </c>
      <c r="E146" s="3" t="n">
        <v>33.23</v>
      </c>
    </row>
    <row r="147">
      <c r="A147" s="2" t="inlineStr">
        <is>
          <t>bricksdirect</t>
        </is>
      </c>
      <c r="B147" s="2" t="n">
        <v>60455</v>
      </c>
      <c r="C147" s="2" t="inlineStr">
        <is>
          <t>Lego City</t>
        </is>
      </c>
      <c r="D147" s="2" t="inlineStr">
        <is>
          <t>LEGO 60455 Police Motorcycle Chase</t>
        </is>
      </c>
      <c r="E147" s="3" t="n">
        <v>8.85</v>
      </c>
    </row>
    <row r="148">
      <c r="A148" s="2" t="inlineStr">
        <is>
          <t>bricksdirect</t>
        </is>
      </c>
      <c r="B148" s="2" t="n">
        <v>60454</v>
      </c>
      <c r="C148" s="2" t="inlineStr">
        <is>
          <t>Lego City</t>
        </is>
      </c>
      <c r="D148" s="2" t="inlineStr">
        <is>
          <t>LEGO 60454 Holiday Adventure Camper Van</t>
        </is>
      </c>
      <c r="E148" s="3" t="n">
        <v>33.23</v>
      </c>
    </row>
    <row r="149">
      <c r="A149" s="2" t="inlineStr">
        <is>
          <t>bricksdirect</t>
        </is>
      </c>
      <c r="B149" s="2" t="n">
        <v>60453</v>
      </c>
      <c r="C149" s="2" t="inlineStr">
        <is>
          <t>Lego City</t>
        </is>
      </c>
      <c r="D149" s="2" t="inlineStr">
        <is>
          <t>LEGO 60453 Lifeguard Beach Rescue Truck</t>
        </is>
      </c>
      <c r="E149" s="3" t="n">
        <v>27.69</v>
      </c>
    </row>
    <row r="150">
      <c r="A150" s="2" t="inlineStr">
        <is>
          <t>bricksdirect</t>
        </is>
      </c>
      <c r="B150" s="2" t="n">
        <v>60452</v>
      </c>
      <c r="C150" s="2" t="inlineStr">
        <is>
          <t>Lego City</t>
        </is>
      </c>
      <c r="D150" s="2" t="inlineStr">
        <is>
          <t>LEGO 60452 Donut Truck</t>
        </is>
      </c>
      <c r="E150" s="3" t="n">
        <v>22.15</v>
      </c>
    </row>
    <row r="151">
      <c r="A151" s="2" t="inlineStr">
        <is>
          <t>bricksdirect</t>
        </is>
      </c>
      <c r="B151" s="2" t="n">
        <v>60451</v>
      </c>
      <c r="C151" s="2" t="inlineStr">
        <is>
          <t>Lego City</t>
        </is>
      </c>
      <c r="D151" s="2" t="inlineStr">
        <is>
          <t>LEGO 60451 Emergency Ambulance</t>
        </is>
      </c>
      <c r="E151" s="3" t="n">
        <v>17.71</v>
      </c>
    </row>
    <row r="152">
      <c r="A152" s="2" t="inlineStr">
        <is>
          <t>bricksdirect</t>
        </is>
      </c>
      <c r="B152" s="2" t="n">
        <v>60449</v>
      </c>
      <c r="C152" s="2" t="inlineStr">
        <is>
          <t>Lego City</t>
        </is>
      </c>
      <c r="D152" s="2" t="inlineStr">
        <is>
          <t>LEGO 60449 Off-Road Police Car Chase</t>
        </is>
      </c>
      <c r="E152" s="3" t="n">
        <v>55.38</v>
      </c>
    </row>
    <row r="153">
      <c r="A153" s="2" t="inlineStr">
        <is>
          <t>bricksdirect</t>
        </is>
      </c>
      <c r="B153" s="2" t="n">
        <v>60447</v>
      </c>
      <c r="C153" s="2" t="inlineStr">
        <is>
          <t>Lego City</t>
        </is>
      </c>
      <c r="D153" s="2" t="inlineStr">
        <is>
          <t>LEGO 60447 Off-Road 4x4 Mountain Truck</t>
        </is>
      </c>
      <c r="E153" s="3" t="n">
        <v>17.71</v>
      </c>
    </row>
    <row r="154">
      <c r="A154" s="2" t="inlineStr">
        <is>
          <t>bricksdirect</t>
        </is>
      </c>
      <c r="B154" s="2" t="n">
        <v>60446</v>
      </c>
      <c r="C154" s="2" t="inlineStr">
        <is>
          <t>Lego City</t>
        </is>
      </c>
      <c r="D154" s="2" t="inlineStr">
        <is>
          <t>LEGO 60446 Modular Galactic Spaceship</t>
        </is>
      </c>
      <c r="E154" s="3" t="n">
        <v>99.7</v>
      </c>
    </row>
    <row r="155">
      <c r="A155" s="2" t="inlineStr">
        <is>
          <t>bricksdirect</t>
        </is>
      </c>
      <c r="B155" s="2" t="n">
        <v>60445</v>
      </c>
      <c r="C155" s="2" t="inlineStr">
        <is>
          <t>Lego City</t>
        </is>
      </c>
      <c r="D155" s="2" t="inlineStr">
        <is>
          <t>LEGO 60445 F1 Truck with RB20 &amp; AMR24 F1 Cars</t>
        </is>
      </c>
      <c r="E155" s="3" t="n">
        <v>110.78</v>
      </c>
    </row>
    <row r="156">
      <c r="A156" s="2" t="inlineStr">
        <is>
          <t>bricksdirect</t>
        </is>
      </c>
      <c r="B156" s="2" t="n">
        <v>60444</v>
      </c>
      <c r="C156" s="2" t="inlineStr">
        <is>
          <t>Lego City</t>
        </is>
      </c>
      <c r="D156" s="2" t="inlineStr">
        <is>
          <t>LEGO 60444 F1 Garage &amp; Mercedes-AMG &amp; Alpine Cars</t>
        </is>
      </c>
      <c r="E156" s="3" t="n">
        <v>88.62</v>
      </c>
    </row>
    <row r="157">
      <c r="A157" s="2" t="inlineStr">
        <is>
          <t>bricksdirect</t>
        </is>
      </c>
      <c r="B157" s="2" t="n">
        <v>60443</v>
      </c>
      <c r="C157" s="2" t="inlineStr">
        <is>
          <t>Lego City</t>
        </is>
      </c>
      <c r="D157" s="2" t="inlineStr">
        <is>
          <t>LEGO 60443 F1 Pit Stop &amp; Pit Crew with Ferrari Car</t>
        </is>
      </c>
      <c r="E157" s="3" t="n">
        <v>26.58</v>
      </c>
    </row>
    <row r="158">
      <c r="A158" s="2" t="inlineStr">
        <is>
          <t>bricksdirect</t>
        </is>
      </c>
      <c r="B158" s="2" t="n">
        <v>75535</v>
      </c>
      <c r="C158" s="2" t="inlineStr">
        <is>
          <t>Lego Star Wars</t>
        </is>
      </c>
      <c r="D158" s="2" t="inlineStr">
        <is>
          <t>LEGO 75535 Han Solo</t>
        </is>
      </c>
      <c r="E158" s="3" t="n">
        <v>33.23</v>
      </c>
    </row>
    <row r="159">
      <c r="A159" s="2" t="inlineStr">
        <is>
          <t>bricksdirect</t>
        </is>
      </c>
      <c r="B159" s="2" t="n">
        <v>75528</v>
      </c>
      <c r="C159" s="2" t="inlineStr">
        <is>
          <t>Lego Star Wars</t>
        </is>
      </c>
      <c r="D159" s="2" t="inlineStr">
        <is>
          <t>LEGO 75528 Rey</t>
        </is>
      </c>
      <c r="E159" s="3" t="n">
        <v>27.69</v>
      </c>
    </row>
    <row r="160">
      <c r="A160" s="2" t="inlineStr">
        <is>
          <t>bricksdirect</t>
        </is>
      </c>
      <c r="B160" s="2" t="n">
        <v>75525</v>
      </c>
      <c r="C160" s="2" t="inlineStr">
        <is>
          <t>Lego Star Wars</t>
        </is>
      </c>
      <c r="D160" s="2" t="inlineStr">
        <is>
          <t>LEGO 75525 Baze Malbus</t>
        </is>
      </c>
      <c r="E160" s="3" t="n">
        <v>22.15</v>
      </c>
    </row>
    <row r="161">
      <c r="A161" s="2" t="inlineStr">
        <is>
          <t>bricksdirect</t>
        </is>
      </c>
      <c r="B161" s="2" t="n">
        <v>75524</v>
      </c>
      <c r="C161" s="2" t="inlineStr">
        <is>
          <t>Lego Star Wars</t>
        </is>
      </c>
      <c r="D161" s="2" t="inlineStr">
        <is>
          <t>LEGO 75524 Chirrut Îmwe</t>
        </is>
      </c>
      <c r="E161" s="3" t="n">
        <v>22.15</v>
      </c>
    </row>
    <row r="162">
      <c r="A162" s="2" t="inlineStr">
        <is>
          <t>bricksdirect</t>
        </is>
      </c>
      <c r="B162" s="2" t="n">
        <v>75461</v>
      </c>
      <c r="C162" s="2" t="inlineStr">
        <is>
          <t>Lego Star Wars</t>
        </is>
      </c>
      <c r="D162" s="2" t="inlineStr">
        <is>
          <t>LEGO 75461 Up-Scaled Darth Vader Minifigure</t>
        </is>
      </c>
      <c r="E162" s="3" t="n">
        <v>121.85</v>
      </c>
    </row>
    <row r="163">
      <c r="A163" s="2" t="inlineStr">
        <is>
          <t>bricksdirect</t>
        </is>
      </c>
      <c r="B163" s="2" t="n">
        <v>75460</v>
      </c>
      <c r="C163" s="2" t="inlineStr">
        <is>
          <t>Lego Star Wars</t>
        </is>
      </c>
      <c r="D163" s="2" t="inlineStr">
        <is>
          <t>LEGO 75460 New Republic X-Wing Starfighter</t>
        </is>
      </c>
      <c r="E163" s="3" t="n">
        <v>88.62</v>
      </c>
    </row>
    <row r="164">
      <c r="A164" s="2" t="inlineStr">
        <is>
          <t>bricksdirect</t>
        </is>
      </c>
      <c r="B164" s="2" t="n">
        <v>75459</v>
      </c>
      <c r="C164" s="2" t="inlineStr">
        <is>
          <t>Lego Star Wars</t>
        </is>
      </c>
      <c r="D164" s="2" t="inlineStr">
        <is>
          <t>LEGO 75459 Imperial Lambda-Class Shuttle</t>
        </is>
      </c>
      <c r="E164" s="3" t="n">
        <v>177.25</v>
      </c>
    </row>
    <row r="165">
      <c r="A165" s="2" t="inlineStr">
        <is>
          <t>bricksdirect</t>
        </is>
      </c>
      <c r="B165" s="2" t="n">
        <v>75458</v>
      </c>
      <c r="C165" s="2" t="inlineStr">
        <is>
          <t>Lego Star Wars</t>
        </is>
      </c>
      <c r="D165" s="2" t="inlineStr">
        <is>
          <t>LEGO 75458 Imperial Remnant AT-RT Driver Helmet</t>
        </is>
      </c>
      <c r="E165" s="3" t="n">
        <v>88.62</v>
      </c>
    </row>
    <row r="166">
      <c r="A166" s="2" t="inlineStr">
        <is>
          <t>bricksdirect</t>
        </is>
      </c>
      <c r="B166" s="2" t="n">
        <v>75456</v>
      </c>
      <c r="C166" s="2" t="inlineStr">
        <is>
          <t>Lego Star Wars</t>
        </is>
      </c>
      <c r="D166" s="2" t="inlineStr">
        <is>
          <t>LEGO 75456 Advent Calendar 2026, Star Wars (Pre order, will be shipped on 01/09/2026)</t>
        </is>
      </c>
      <c r="E166" s="3" t="n">
        <v>33.23</v>
      </c>
    </row>
    <row r="167">
      <c r="A167" s="2" t="inlineStr">
        <is>
          <t>bricksdirect</t>
        </is>
      </c>
      <c r="B167" s="2" t="n">
        <v>75455</v>
      </c>
      <c r="C167" s="2" t="inlineStr">
        <is>
          <t>Lego Star Wars</t>
        </is>
      </c>
      <c r="D167" s="2" t="inlineStr">
        <is>
          <t>LEGO 75455 Boba Fett (Pre order, will be shipped on 01/08/2026)</t>
        </is>
      </c>
      <c r="E167" s="3" t="n">
        <v>160.63</v>
      </c>
    </row>
    <row r="168">
      <c r="A168" s="2" t="inlineStr">
        <is>
          <t>bricksdirect</t>
        </is>
      </c>
      <c r="B168" s="2" t="n">
        <v>75454</v>
      </c>
      <c r="C168" s="2" t="inlineStr">
        <is>
          <t>Lego Star Wars</t>
        </is>
      </c>
      <c r="D168" s="2" t="inlineStr">
        <is>
          <t>LEGO 75454 Imperial Remnant AT-AT with INT-4 (Pre order, will be shipped on 01/08/2026)</t>
        </is>
      </c>
      <c r="E168" s="3" t="n">
        <v>150.66</v>
      </c>
    </row>
    <row r="169">
      <c r="A169" s="2" t="inlineStr">
        <is>
          <t>bricksdirect</t>
        </is>
      </c>
      <c r="B169" s="2" t="n">
        <v>75453</v>
      </c>
      <c r="C169" s="2" t="inlineStr">
        <is>
          <t>Lego Star Wars</t>
        </is>
      </c>
      <c r="D169" s="2" t="inlineStr">
        <is>
          <t>LEGO 75453 Offworld Sandcrawler and Mudhorn (Pre order, will be shipped on 01/08/2026)</t>
        </is>
      </c>
      <c r="E169" s="3" t="n">
        <v>188.33</v>
      </c>
    </row>
    <row r="170">
      <c r="A170" s="2" t="inlineStr">
        <is>
          <t>bricksdirect</t>
        </is>
      </c>
      <c r="B170" s="2" t="n">
        <v>75452</v>
      </c>
      <c r="C170" s="2" t="inlineStr">
        <is>
          <t>Lego Star Wars</t>
        </is>
      </c>
      <c r="D170" s="2" t="inlineStr">
        <is>
          <t>LEGO 75452 BB-8 Astromech Droid</t>
        </is>
      </c>
      <c r="E170" s="3" t="n">
        <v>85.29000000000001</v>
      </c>
    </row>
    <row r="171">
      <c r="A171" s="2" t="inlineStr">
        <is>
          <t>bricksdirect</t>
        </is>
      </c>
      <c r="B171" s="2" t="n">
        <v>75451</v>
      </c>
      <c r="C171" s="2" t="inlineStr">
        <is>
          <t>Lego Star Wars</t>
        </is>
      </c>
      <c r="D171" s="2" t="inlineStr">
        <is>
          <t>LEGO 75451 Hutt Palace Sentry Droid Showdown (Pre order, will be shipped on 01/08/2026)</t>
        </is>
      </c>
      <c r="E171" s="3" t="n">
        <v>47.63</v>
      </c>
    </row>
    <row r="172">
      <c r="A172" s="2" t="inlineStr">
        <is>
          <t>bricksdirect</t>
        </is>
      </c>
      <c r="B172" s="2" t="n">
        <v>75449</v>
      </c>
      <c r="C172" s="2" t="inlineStr">
        <is>
          <t>Lego Star Wars</t>
        </is>
      </c>
      <c r="D172" s="2" t="inlineStr">
        <is>
          <t>LEGO 75449 Siege of Mandalore Battle Pack</t>
        </is>
      </c>
      <c r="E172" s="3" t="n">
        <v>22.15</v>
      </c>
    </row>
    <row r="173">
      <c r="A173" s="2" t="inlineStr">
        <is>
          <t>bricksdirect</t>
        </is>
      </c>
      <c r="B173" s="2" t="n">
        <v>75448</v>
      </c>
      <c r="C173" s="2" t="inlineStr">
        <is>
          <t>Lego Star Wars</t>
        </is>
      </c>
      <c r="D173" s="2" t="inlineStr">
        <is>
          <t>LEGO 75448 Clone Shock Trooper Mech</t>
        </is>
      </c>
      <c r="E173" s="3" t="n">
        <v>16.61</v>
      </c>
    </row>
    <row r="174">
      <c r="A174" s="2" t="inlineStr">
        <is>
          <t>bricksdirect</t>
        </is>
      </c>
      <c r="B174" s="2" t="n">
        <v>75447</v>
      </c>
      <c r="C174" s="2" t="inlineStr">
        <is>
          <t>Lego Star Wars</t>
        </is>
      </c>
      <c r="D174" s="2" t="inlineStr">
        <is>
          <t>LEGO 75447 The Razor Crest</t>
        </is>
      </c>
      <c r="E174" s="3" t="n">
        <v>141.79</v>
      </c>
    </row>
    <row r="175">
      <c r="A175" s="2" t="inlineStr">
        <is>
          <t>bricksdirect</t>
        </is>
      </c>
      <c r="B175" s="2" t="n">
        <v>75446</v>
      </c>
      <c r="C175" s="2" t="inlineStr">
        <is>
          <t>Lego Star Wars</t>
        </is>
      </c>
      <c r="D175" s="2" t="inlineStr">
        <is>
          <t>LEGO 75446 Grogu (Mandalorian Apprentice)</t>
        </is>
      </c>
      <c r="E175" s="3" t="n">
        <v>122.97</v>
      </c>
    </row>
    <row r="176">
      <c r="A176" s="2" t="inlineStr">
        <is>
          <t>bricksdirect</t>
        </is>
      </c>
      <c r="B176" s="2" t="n">
        <v>75445</v>
      </c>
      <c r="C176" s="2" t="inlineStr">
        <is>
          <t>Lego Star Wars</t>
        </is>
      </c>
      <c r="D176" s="2" t="inlineStr">
        <is>
          <t>LEGO 75445 Anzellan Starship</t>
        </is>
      </c>
      <c r="E176" s="3" t="n">
        <v>70.89</v>
      </c>
    </row>
    <row r="177">
      <c r="A177" s="2" t="inlineStr">
        <is>
          <t>bricksdirect</t>
        </is>
      </c>
      <c r="B177" s="2" t="n">
        <v>75444</v>
      </c>
      <c r="C177" s="2" t="inlineStr">
        <is>
          <t>Lego Star Wars</t>
        </is>
      </c>
      <c r="D177" s="2" t="inlineStr">
        <is>
          <t>LEGO 75444 AT-RT Attack</t>
        </is>
      </c>
      <c r="E177" s="3" t="n">
        <v>43.19</v>
      </c>
    </row>
    <row r="178">
      <c r="A178" s="2" t="inlineStr">
        <is>
          <t>bricksdirect</t>
        </is>
      </c>
      <c r="B178" s="2" t="n">
        <v>75443</v>
      </c>
      <c r="C178" s="2" t="inlineStr">
        <is>
          <t>Lego Star Wars</t>
        </is>
      </c>
      <c r="D178" s="2" t="inlineStr">
        <is>
          <t>LEGO 75443 Grogu’s Homestead</t>
        </is>
      </c>
      <c r="E178" s="3" t="n">
        <v>18.82</v>
      </c>
    </row>
    <row r="179">
      <c r="A179" s="2" t="inlineStr">
        <is>
          <t>bricksdirect</t>
        </is>
      </c>
      <c r="B179" s="2" t="n">
        <v>75442</v>
      </c>
      <c r="C179" s="2" t="inlineStr">
        <is>
          <t>Lego Star Wars</t>
        </is>
      </c>
      <c r="D179" s="2" t="inlineStr">
        <is>
          <t>LEGO 75442 The Mandalorian’s N-1 Starfighter</t>
        </is>
      </c>
      <c r="E179" s="3" t="n">
        <v>310.19</v>
      </c>
    </row>
    <row r="180">
      <c r="A180" s="2" t="inlineStr">
        <is>
          <t>bricksdirect</t>
        </is>
      </c>
      <c r="B180" s="2" t="n">
        <v>75441</v>
      </c>
      <c r="C180" s="2" t="inlineStr">
        <is>
          <t>Lego Star Wars</t>
        </is>
      </c>
      <c r="D180" s="2" t="inlineStr">
        <is>
          <t>LEGO 75441 Venator-Class Attack Cruiser</t>
        </is>
      </c>
      <c r="E180" s="3" t="n">
        <v>75.33</v>
      </c>
    </row>
    <row r="181">
      <c r="A181" s="2" t="inlineStr">
        <is>
          <t>bricksdirect</t>
        </is>
      </c>
      <c r="B181" s="2" t="n">
        <v>75440</v>
      </c>
      <c r="C181" s="2" t="inlineStr">
        <is>
          <t>Lego Star Wars</t>
        </is>
      </c>
      <c r="D181" s="2" t="inlineStr">
        <is>
          <t>LEGO 75440 AT-AT</t>
        </is>
      </c>
      <c r="E181" s="3" t="n">
        <v>62.03</v>
      </c>
    </row>
    <row r="182">
      <c r="A182" s="2" t="inlineStr">
        <is>
          <t>bricksdirect</t>
        </is>
      </c>
      <c r="B182" s="2" t="n">
        <v>75439</v>
      </c>
      <c r="C182" s="2" t="inlineStr">
        <is>
          <t>Lego Star Wars</t>
        </is>
      </c>
      <c r="D182" s="2" t="inlineStr">
        <is>
          <t>LEGO 75439 Darth Vader Bust</t>
        </is>
      </c>
      <c r="E182" s="3" t="n">
        <v>47.63</v>
      </c>
    </row>
    <row r="183">
      <c r="A183" s="2" t="inlineStr">
        <is>
          <t>bricksdirect</t>
        </is>
      </c>
      <c r="B183" s="2" t="n">
        <v>75438</v>
      </c>
      <c r="C183" s="2" t="inlineStr">
        <is>
          <t>Lego Star Wars</t>
        </is>
      </c>
      <c r="D183" s="2" t="inlineStr">
        <is>
          <t>LEGO 75438 Yoda Bust</t>
        </is>
      </c>
      <c r="E183" s="3" t="n">
        <v>37.66</v>
      </c>
    </row>
    <row r="184">
      <c r="A184" s="2" t="inlineStr">
        <is>
          <t>bricksdirect</t>
        </is>
      </c>
      <c r="B184" s="2" t="n">
        <v>75437</v>
      </c>
      <c r="C184" s="2" t="inlineStr">
        <is>
          <t>Lego Star Wars</t>
        </is>
      </c>
      <c r="D184" s="2" t="inlineStr">
        <is>
          <t>LEGO 75437 Cobb Vanth’s Speeder</t>
        </is>
      </c>
      <c r="E184" s="3" t="n">
        <v>28.79</v>
      </c>
    </row>
    <row r="185">
      <c r="A185" s="2" t="inlineStr">
        <is>
          <t>bricksdirect</t>
        </is>
      </c>
      <c r="B185" s="2" t="n">
        <v>75436</v>
      </c>
      <c r="C185" s="2" t="inlineStr">
        <is>
          <t>Lego Star Wars</t>
        </is>
      </c>
      <c r="D185" s="2" t="inlineStr">
        <is>
          <t>LEGO 75436 The Mandalorian &amp; Grogu’s Speeder Bike</t>
        </is>
      </c>
      <c r="E185" s="3" t="n">
        <v>11.07</v>
      </c>
    </row>
    <row r="186">
      <c r="A186" s="2" t="inlineStr">
        <is>
          <t>bricksdirect</t>
        </is>
      </c>
      <c r="B186" s="2" t="n">
        <v>75435</v>
      </c>
      <c r="C186" s="2" t="inlineStr">
        <is>
          <t>Lego Star Wars</t>
        </is>
      </c>
      <c r="D186" s="2" t="inlineStr">
        <is>
          <t>LEGO 75435 Battle of Felucia Separatist MTT</t>
        </is>
      </c>
      <c r="E186" s="3" t="n">
        <v>137.36</v>
      </c>
    </row>
    <row r="187">
      <c r="A187" s="2" t="inlineStr">
        <is>
          <t>bricksdirect</t>
        </is>
      </c>
      <c r="B187" s="2" t="n">
        <v>75434</v>
      </c>
      <c r="C187" s="2" t="inlineStr">
        <is>
          <t>Lego Star Wars</t>
        </is>
      </c>
      <c r="D187" s="2" t="inlineStr">
        <is>
          <t>LEGO 75434 K-2SO Security Droid</t>
        </is>
      </c>
      <c r="E187" s="3" t="n">
        <v>99.7</v>
      </c>
    </row>
    <row r="188">
      <c r="A188" s="2" t="inlineStr">
        <is>
          <t>bricksdirect</t>
        </is>
      </c>
      <c r="B188" s="2" t="n">
        <v>75433</v>
      </c>
      <c r="C188" s="2" t="inlineStr">
        <is>
          <t>Lego Star Wars</t>
        </is>
      </c>
      <c r="D188" s="2" t="inlineStr">
        <is>
          <t>LEGO 75433 Jango Fett’s Starship</t>
        </is>
      </c>
      <c r="E188" s="3" t="n">
        <v>62.03</v>
      </c>
    </row>
    <row r="189">
      <c r="A189" s="2" t="inlineStr">
        <is>
          <t>bricksdirect</t>
        </is>
      </c>
      <c r="B189" s="2" t="n">
        <v>75432</v>
      </c>
      <c r="C189" s="2" t="inlineStr">
        <is>
          <t>Lego Star Wars</t>
        </is>
      </c>
      <c r="D189" s="2" t="inlineStr">
        <is>
          <t>LEGO 75432 V-19 Torrent Starfighter</t>
        </is>
      </c>
      <c r="E189" s="3" t="n">
        <v>72</v>
      </c>
    </row>
    <row r="190">
      <c r="A190" s="2" t="inlineStr">
        <is>
          <t>bricksdirect</t>
        </is>
      </c>
      <c r="B190" s="2" t="n">
        <v>75431</v>
      </c>
      <c r="C190" s="2" t="inlineStr">
        <is>
          <t>Lego Star Wars</t>
        </is>
      </c>
      <c r="D190" s="2" t="inlineStr">
        <is>
          <t>LEGO 75431 327th Star Corps Clone Troopers Battle Pack</t>
        </is>
      </c>
      <c r="E190" s="3" t="n">
        <v>44.3</v>
      </c>
    </row>
    <row r="191">
      <c r="A191" s="2" t="inlineStr">
        <is>
          <t>bricksdirect</t>
        </is>
      </c>
      <c r="B191" s="2" t="n">
        <v>75430</v>
      </c>
      <c r="C191" s="2" t="inlineStr">
        <is>
          <t>Lego Star Wars</t>
        </is>
      </c>
      <c r="D191" s="2" t="inlineStr">
        <is>
          <t>LEGO 75430 Wicket the Ewok</t>
        </is>
      </c>
      <c r="E191" s="3" t="n">
        <v>144.01</v>
      </c>
    </row>
    <row r="192">
      <c r="A192" s="2" t="inlineStr">
        <is>
          <t>bricksdirect</t>
        </is>
      </c>
      <c r="B192" s="2" t="n">
        <v>75429</v>
      </c>
      <c r="C192" s="2" t="inlineStr">
        <is>
          <t>Lego Star Wars</t>
        </is>
      </c>
      <c r="D192" s="2" t="inlineStr">
        <is>
          <t>LEGO 75429 AT-AT Driver Helmet</t>
        </is>
      </c>
      <c r="E192" s="3" t="n">
        <v>110.78</v>
      </c>
    </row>
    <row r="193">
      <c r="A193" s="2" t="inlineStr">
        <is>
          <t>bricksdirect</t>
        </is>
      </c>
      <c r="B193" s="2" t="n">
        <v>75428</v>
      </c>
      <c r="C193" s="2" t="inlineStr">
        <is>
          <t>Lego Star Wars</t>
        </is>
      </c>
      <c r="D193" s="2" t="inlineStr">
        <is>
          <t>LEGO 75428 Battle Droid with STAP</t>
        </is>
      </c>
      <c r="E193" s="3" t="n">
        <v>155.09</v>
      </c>
    </row>
    <row r="194">
      <c r="A194" s="2" t="inlineStr">
        <is>
          <t>bricksdirect</t>
        </is>
      </c>
      <c r="B194" s="2" t="n">
        <v>75427</v>
      </c>
      <c r="C194" s="2" t="inlineStr">
        <is>
          <t>Lego Star Wars</t>
        </is>
      </c>
      <c r="D194" s="2" t="inlineStr">
        <is>
          <t>LEGO 75427 SMART Play: Throne Room Duel &amp; A-Wing</t>
        </is>
      </c>
      <c r="E194" s="3" t="n">
        <v>188.33</v>
      </c>
    </row>
    <row r="195">
      <c r="A195" s="2" t="inlineStr">
        <is>
          <t>bricksdirect</t>
        </is>
      </c>
      <c r="B195" s="2" t="n">
        <v>75426</v>
      </c>
      <c r="C195" s="2" t="inlineStr">
        <is>
          <t>Lego Star Wars</t>
        </is>
      </c>
      <c r="D195" s="2" t="inlineStr">
        <is>
          <t>LEGO 75426 SMART Play: Millennium Falcon</t>
        </is>
      </c>
      <c r="E195" s="3" t="n">
        <v>121.85</v>
      </c>
    </row>
    <row r="196">
      <c r="A196" s="2" t="inlineStr">
        <is>
          <t>bricksdirect</t>
        </is>
      </c>
      <c r="B196" s="2" t="n">
        <v>75425</v>
      </c>
      <c r="C196" s="2" t="inlineStr">
        <is>
          <t>Lego Star Wars</t>
        </is>
      </c>
      <c r="D196" s="2" t="inlineStr">
        <is>
          <t>LEGO 75425 SMART Play: Mos Eisley Cantina</t>
        </is>
      </c>
      <c r="E196" s="3" t="n">
        <v>99.7</v>
      </c>
    </row>
    <row r="197">
      <c r="A197" s="2" t="inlineStr">
        <is>
          <t>bricksdirect</t>
        </is>
      </c>
      <c r="B197" s="2" t="n">
        <v>75424</v>
      </c>
      <c r="C197" s="2" t="inlineStr">
        <is>
          <t>Lego Star Wars</t>
        </is>
      </c>
      <c r="D197" s="2" t="inlineStr">
        <is>
          <t>LEGO 75424 SMART Play: AT-ST Attack on Endor</t>
        </is>
      </c>
      <c r="E197" s="3" t="n">
        <v>66.45999999999999</v>
      </c>
    </row>
    <row r="198">
      <c r="A198" s="2" t="inlineStr">
        <is>
          <t>bricksdirect</t>
        </is>
      </c>
      <c r="B198" s="2" t="n">
        <v>75423</v>
      </c>
      <c r="C198" s="2" t="inlineStr">
        <is>
          <t>Lego Star Wars</t>
        </is>
      </c>
      <c r="D198" s="2" t="inlineStr">
        <is>
          <t>LEGO 75423 SMART Play: Luke’s Red Five X-Wing</t>
        </is>
      </c>
      <c r="E198" s="3" t="n">
        <v>110.78</v>
      </c>
    </row>
    <row r="199">
      <c r="A199" s="2" t="inlineStr">
        <is>
          <t>bricksdirect</t>
        </is>
      </c>
      <c r="B199" s="2" t="n">
        <v>75422</v>
      </c>
      <c r="C199" s="2" t="inlineStr">
        <is>
          <t>Lego Star Wars</t>
        </is>
      </c>
      <c r="D199" s="2" t="inlineStr">
        <is>
          <t>LEGO 75422 SMART Play: Yoda’s Hut and Jedi Training</t>
        </is>
      </c>
      <c r="E199" s="3" t="n">
        <v>88.62</v>
      </c>
    </row>
    <row r="200">
      <c r="A200" s="2" t="inlineStr">
        <is>
          <t>bricksdirect</t>
        </is>
      </c>
      <c r="B200" s="2" t="n">
        <v>75421</v>
      </c>
      <c r="C200" s="2" t="inlineStr">
        <is>
          <t>Lego Star Wars</t>
        </is>
      </c>
      <c r="D200" s="2" t="inlineStr">
        <is>
          <t>LEGO 75421 SMART Play: Darth Vader’s TIE Fighter</t>
        </is>
      </c>
      <c r="E200" s="3" t="n">
        <v>88.62</v>
      </c>
    </row>
    <row r="201">
      <c r="A201" s="2" t="inlineStr">
        <is>
          <t>bricksdirect</t>
        </is>
      </c>
      <c r="B201" s="2" t="n">
        <v>75420</v>
      </c>
      <c r="C201" s="2" t="inlineStr">
        <is>
          <t>Lego Star Wars</t>
        </is>
      </c>
      <c r="D201" s="2" t="inlineStr">
        <is>
          <t>LEGO 75420 SMART Play: Luke’s Landspeeder</t>
        </is>
      </c>
      <c r="E201" s="3" t="n">
        <v>55.38</v>
      </c>
    </row>
    <row r="202">
      <c r="A202" s="2" t="inlineStr">
        <is>
          <t>bricksdirect</t>
        </is>
      </c>
      <c r="B202" s="2" t="n">
        <v>75419</v>
      </c>
      <c r="C202" s="2" t="inlineStr">
        <is>
          <t>Lego Star Wars</t>
        </is>
      </c>
      <c r="D202" s="2" t="inlineStr">
        <is>
          <t>LEGO 75419 Death Star</t>
        </is>
      </c>
      <c r="E202" s="3" t="n">
        <v>1218.65</v>
      </c>
    </row>
    <row r="203">
      <c r="A203" s="2" t="inlineStr">
        <is>
          <t>bricksdirect</t>
        </is>
      </c>
      <c r="B203" s="2" t="n">
        <v>75418</v>
      </c>
      <c r="C203" s="2" t="inlineStr">
        <is>
          <t>Lego Star Wars</t>
        </is>
      </c>
      <c r="D203" s="2" t="inlineStr">
        <is>
          <t>LEGO 75418 Advent Calendar 2025, Star Wars</t>
        </is>
      </c>
      <c r="E203" s="3" t="n">
        <v>38.76</v>
      </c>
    </row>
    <row r="204">
      <c r="A204" s="2" t="inlineStr">
        <is>
          <t>bricksdirect</t>
        </is>
      </c>
      <c r="B204" s="2" t="n">
        <v>75417</v>
      </c>
      <c r="C204" s="2" t="inlineStr">
        <is>
          <t>Lego Star Wars</t>
        </is>
      </c>
      <c r="D204" s="2" t="inlineStr">
        <is>
          <t>LEGO 75417 AT-ST Walker</t>
        </is>
      </c>
      <c r="E204" s="3" t="n">
        <v>182.79</v>
      </c>
    </row>
    <row r="205">
      <c r="A205" s="2" t="inlineStr">
        <is>
          <t>bricksdirect</t>
        </is>
      </c>
      <c r="B205" s="2" t="n">
        <v>75416</v>
      </c>
      <c r="C205" s="2" t="inlineStr">
        <is>
          <t>Lego Star Wars</t>
        </is>
      </c>
      <c r="D205" s="2" t="inlineStr">
        <is>
          <t>LEGO 75416 Chopper (C1-10P) Astromech Droid</t>
        </is>
      </c>
      <c r="E205" s="3" t="n">
        <v>100.8</v>
      </c>
    </row>
    <row r="206">
      <c r="A206" s="2" t="inlineStr">
        <is>
          <t>bricksdirect</t>
        </is>
      </c>
      <c r="B206" s="2" t="n">
        <v>75415</v>
      </c>
      <c r="C206" s="2" t="inlineStr">
        <is>
          <t>Lego Star Wars</t>
        </is>
      </c>
      <c r="D206" s="2" t="inlineStr">
        <is>
          <t>LEGO 75415 Kylo Ren Helmet</t>
        </is>
      </c>
      <c r="E206" s="3" t="n">
        <v>88.62</v>
      </c>
    </row>
    <row r="207">
      <c r="A207" s="2" t="inlineStr">
        <is>
          <t>bricksdirect</t>
        </is>
      </c>
      <c r="B207" s="2" t="n">
        <v>75414</v>
      </c>
      <c r="C207" s="2" t="inlineStr">
        <is>
          <t>Lego Star Wars</t>
        </is>
      </c>
      <c r="D207" s="2" t="inlineStr">
        <is>
          <t>LEGO 75414 The Force Burner Snowspeeder</t>
        </is>
      </c>
      <c r="E207" s="3" t="n">
        <v>44.31</v>
      </c>
    </row>
    <row r="208">
      <c r="A208" s="2" t="inlineStr">
        <is>
          <t>bricksdirect</t>
        </is>
      </c>
      <c r="B208" s="2" t="n">
        <v>75413</v>
      </c>
      <c r="C208" s="2" t="inlineStr">
        <is>
          <t>Lego Star Wars</t>
        </is>
      </c>
      <c r="D208" s="2" t="inlineStr">
        <is>
          <t>LEGO 75413 Republic Juggernaut</t>
        </is>
      </c>
      <c r="E208" s="3" t="n">
        <v>137.36</v>
      </c>
    </row>
    <row r="209">
      <c r="A209" s="2" t="inlineStr">
        <is>
          <t>bricksdirect</t>
        </is>
      </c>
      <c r="B209" s="2" t="n">
        <v>75412</v>
      </c>
      <c r="C209" s="2" t="inlineStr">
        <is>
          <t>Lego Star Wars</t>
        </is>
      </c>
      <c r="D209" s="2" t="inlineStr">
        <is>
          <t>LEGO 75412 Death Trooper &amp; Night Trooper Battle Pack</t>
        </is>
      </c>
      <c r="E209" s="3" t="n">
        <v>22.15</v>
      </c>
    </row>
    <row r="210">
      <c r="A210" s="2" t="inlineStr">
        <is>
          <t>bricksdirect</t>
        </is>
      </c>
      <c r="B210" s="2" t="n">
        <v>75411</v>
      </c>
      <c r="C210" s="2" t="inlineStr">
        <is>
          <t>Lego Star Wars</t>
        </is>
      </c>
      <c r="D210" s="2" t="inlineStr">
        <is>
          <t>LEGO 75411 Darth Maul Mech</t>
        </is>
      </c>
      <c r="E210" s="3" t="n">
        <v>13.28</v>
      </c>
    </row>
    <row r="211">
      <c r="A211" s="2" t="inlineStr">
        <is>
          <t>bricksdirect</t>
        </is>
      </c>
      <c r="B211" s="2" t="n">
        <v>75410</v>
      </c>
      <c r="C211" s="2" t="inlineStr">
        <is>
          <t>Lego Star Wars</t>
        </is>
      </c>
      <c r="D211" s="2" t="inlineStr">
        <is>
          <t>LEGO 75410 Mando and Grogu’s N-1 Starfighter</t>
        </is>
      </c>
      <c r="E211" s="3" t="n">
        <v>26.58</v>
      </c>
    </row>
    <row r="212">
      <c r="A212" s="2" t="inlineStr">
        <is>
          <t>bricksdirect</t>
        </is>
      </c>
      <c r="B212" s="2" t="n">
        <v>75409</v>
      </c>
      <c r="C212" s="2" t="inlineStr">
        <is>
          <t>Lego Star Wars</t>
        </is>
      </c>
      <c r="D212" s="2" t="inlineStr">
        <is>
          <t>LEGO 75409 Jango Fett’s Firespray-Class Starship</t>
        </is>
      </c>
      <c r="E212" s="3" t="n">
        <v>354.51</v>
      </c>
    </row>
    <row r="213">
      <c r="A213" s="2" t="inlineStr">
        <is>
          <t>bricksdirect</t>
        </is>
      </c>
      <c r="B213" s="2" t="n">
        <v>75408</v>
      </c>
      <c r="C213" s="2" t="inlineStr">
        <is>
          <t>Lego Star Wars</t>
        </is>
      </c>
      <c r="D213" s="2" t="inlineStr">
        <is>
          <t>LEGO 75408 Jango Fett Helmet</t>
        </is>
      </c>
      <c r="E213" s="3" t="n">
        <v>70.90000000000001</v>
      </c>
    </row>
    <row r="214">
      <c r="A214" s="2" t="inlineStr">
        <is>
          <t>bricksdirect</t>
        </is>
      </c>
      <c r="B214" s="2" t="n">
        <v>75407</v>
      </c>
      <c r="C214" s="2" t="inlineStr">
        <is>
          <t>Lego Star Wars</t>
        </is>
      </c>
      <c r="D214" s="2" t="inlineStr">
        <is>
          <t>LEGO 75407 Brick-Built Star Wars Logo</t>
        </is>
      </c>
      <c r="E214" s="3" t="n">
        <v>62.03</v>
      </c>
    </row>
    <row r="215">
      <c r="A215" s="2" t="inlineStr">
        <is>
          <t>bricksdirect</t>
        </is>
      </c>
      <c r="B215" s="2" t="n">
        <v>75406</v>
      </c>
      <c r="C215" s="2" t="inlineStr">
        <is>
          <t>Lego Star Wars</t>
        </is>
      </c>
      <c r="D215" s="2" t="inlineStr">
        <is>
          <t>LEGO 75406 Kylo Ren’s Command Shuttle</t>
        </is>
      </c>
      <c r="E215" s="3" t="n">
        <v>88.62</v>
      </c>
    </row>
    <row r="216">
      <c r="A216" s="2" t="inlineStr">
        <is>
          <t>bricksdirect</t>
        </is>
      </c>
      <c r="B216" s="2" t="n">
        <v>75405</v>
      </c>
      <c r="C216" s="2" t="inlineStr">
        <is>
          <t>Lego Star Wars</t>
        </is>
      </c>
      <c r="D216" s="2" t="inlineStr">
        <is>
          <t>LEGO 75405 Home One Starcruiser</t>
        </is>
      </c>
      <c r="E216" s="3" t="n">
        <v>77.54000000000001</v>
      </c>
    </row>
    <row r="217">
      <c r="A217" s="2" t="inlineStr">
        <is>
          <t>bricksdirect</t>
        </is>
      </c>
      <c r="B217" s="2" t="n">
        <v>75404</v>
      </c>
      <c r="C217" s="2" t="inlineStr">
        <is>
          <t>Lego Star Wars</t>
        </is>
      </c>
      <c r="D217" s="2" t="inlineStr">
        <is>
          <t>LEGO 75404 Acclamator-Class Assault Ship</t>
        </is>
      </c>
      <c r="E217" s="3" t="n">
        <v>55.38</v>
      </c>
    </row>
    <row r="218">
      <c r="A218" s="2" t="inlineStr">
        <is>
          <t>bricksdirect</t>
        </is>
      </c>
      <c r="B218" s="2" t="n">
        <v>853778</v>
      </c>
      <c r="C218" s="2" t="inlineStr">
        <is>
          <t>Lego Friends</t>
        </is>
      </c>
      <c r="D218" s="2" t="inlineStr">
        <is>
          <t>LEGO 853778 Stephanie’s Pool Pod</t>
        </is>
      </c>
      <c r="E218" s="3" t="n">
        <v>11.07</v>
      </c>
    </row>
    <row r="219">
      <c r="A219" s="2" t="inlineStr">
        <is>
          <t>bricksdirect</t>
        </is>
      </c>
      <c r="B219" s="2" t="n">
        <v>5005236</v>
      </c>
      <c r="C219" s="2" t="inlineStr">
        <is>
          <t>Lego Friends</t>
        </is>
      </c>
      <c r="D219" s="2" t="inlineStr">
        <is>
          <t>LEGO 5005236 Friends Clubhouse</t>
        </is>
      </c>
      <c r="E219" s="3" t="n">
        <v>11.07</v>
      </c>
    </row>
    <row r="220">
      <c r="A220" s="2" t="inlineStr">
        <is>
          <t>bricksdirect</t>
        </is>
      </c>
      <c r="B220" s="2" t="n">
        <v>42705</v>
      </c>
      <c r="C220" s="2" t="inlineStr">
        <is>
          <t>Lego Friends</t>
        </is>
      </c>
      <c r="D220" s="2" t="inlineStr">
        <is>
          <t>LEGO 42705 Cozy Fall Forest Cabin</t>
        </is>
      </c>
      <c r="E220" s="3" t="n">
        <v>94.16</v>
      </c>
    </row>
    <row r="221">
      <c r="A221" s="2" t="inlineStr">
        <is>
          <t>bricksdirect</t>
        </is>
      </c>
      <c r="B221" s="2" t="n">
        <v>42704</v>
      </c>
      <c r="C221" s="2" t="inlineStr">
        <is>
          <t>Lego Friends</t>
        </is>
      </c>
      <c r="D221" s="2" t="inlineStr">
        <is>
          <t>LEGO 42704 Heartlake City Grand Hotel</t>
        </is>
      </c>
      <c r="E221" s="3" t="n">
        <v>141.79</v>
      </c>
    </row>
    <row r="222">
      <c r="A222" s="2" t="inlineStr">
        <is>
          <t>bricksdirect</t>
        </is>
      </c>
      <c r="B222" s="2" t="n">
        <v>42703</v>
      </c>
      <c r="C222" s="2" t="inlineStr">
        <is>
          <t>Lego Friends</t>
        </is>
      </c>
      <c r="D222" s="2" t="inlineStr">
        <is>
          <t>LEGO 42703 Mermaid Roller Coaster Ride</t>
        </is>
      </c>
      <c r="E222" s="3" t="n">
        <v>94.16</v>
      </c>
    </row>
    <row r="223">
      <c r="A223" s="2" t="inlineStr">
        <is>
          <t>bricksdirect</t>
        </is>
      </c>
      <c r="B223" s="2" t="n">
        <v>42702</v>
      </c>
      <c r="C223" s="2" t="inlineStr">
        <is>
          <t>Lego Friends</t>
        </is>
      </c>
      <c r="D223" s="2" t="inlineStr">
        <is>
          <t>LEGO 42702 Spinning Flower &amp; Fairy Teacup Ride</t>
        </is>
      </c>
      <c r="E223" s="3" t="n">
        <v>37.66</v>
      </c>
    </row>
    <row r="224">
      <c r="A224" s="2" t="inlineStr">
        <is>
          <t>bricksdirect</t>
        </is>
      </c>
      <c r="B224" s="2" t="n">
        <v>42701</v>
      </c>
      <c r="C224" s="2" t="inlineStr">
        <is>
          <t>Lego Friends</t>
        </is>
      </c>
      <c r="D224" s="2" t="inlineStr">
        <is>
          <t>LEGO 42701 Koala Habitat &amp; Care Center</t>
        </is>
      </c>
      <c r="E224" s="3" t="n">
        <v>83.08</v>
      </c>
    </row>
    <row r="225">
      <c r="A225" s="2" t="inlineStr">
        <is>
          <t>bricksdirect</t>
        </is>
      </c>
      <c r="B225" s="2" t="n">
        <v>42700</v>
      </c>
      <c r="C225" s="2" t="inlineStr">
        <is>
          <t>Lego Friends</t>
        </is>
      </c>
      <c r="D225" s="2" t="inlineStr">
        <is>
          <t>LEGO 42700 Candy &amp; Cupcake Ferris Wheel</t>
        </is>
      </c>
      <c r="E225" s="3" t="n">
        <v>56.49</v>
      </c>
    </row>
    <row r="226">
      <c r="A226" s="2" t="inlineStr">
        <is>
          <t>bricksdirect</t>
        </is>
      </c>
      <c r="B226" s="2" t="n">
        <v>42699</v>
      </c>
      <c r="C226" s="2" t="inlineStr">
        <is>
          <t>Lego Friends</t>
        </is>
      </c>
      <c r="D226" s="2" t="inlineStr">
        <is>
          <t>LEGO 42699 Beach House with Seals</t>
        </is>
      </c>
      <c r="E226" s="3" t="n">
        <v>55.38</v>
      </c>
    </row>
    <row r="227">
      <c r="A227" s="2" t="inlineStr">
        <is>
          <t>bricksdirect</t>
        </is>
      </c>
      <c r="B227" s="2" t="n">
        <v>42698</v>
      </c>
      <c r="C227" s="2" t="inlineStr">
        <is>
          <t>Lego Friends</t>
        </is>
      </c>
      <c r="D227" s="2" t="inlineStr">
        <is>
          <t>LEGO 42698 Advent Calendar 2026, Friends (Pre order, will be shipped on 01/09/2026)</t>
        </is>
      </c>
      <c r="E227" s="3" t="n">
        <v>25.47</v>
      </c>
    </row>
    <row r="228">
      <c r="A228" s="2" t="inlineStr">
        <is>
          <t>bricksdirect</t>
        </is>
      </c>
      <c r="B228" s="2" t="n">
        <v>42697</v>
      </c>
      <c r="C228" s="2" t="inlineStr">
        <is>
          <t>Lego Friends</t>
        </is>
      </c>
      <c r="D228" s="2" t="inlineStr">
        <is>
          <t>LEGO 42697 Creative Dollhouse Suitcase</t>
        </is>
      </c>
      <c r="E228" s="3" t="n">
        <v>47.63</v>
      </c>
    </row>
    <row r="229">
      <c r="A229" s="2" t="inlineStr">
        <is>
          <t>bricksdirect</t>
        </is>
      </c>
      <c r="B229" s="2" t="n">
        <v>42696</v>
      </c>
      <c r="C229" s="2" t="inlineStr">
        <is>
          <t>Lego Friends</t>
        </is>
      </c>
      <c r="D229" s="2" t="inlineStr">
        <is>
          <t>LEGO 42696 Animal Vet Clinic</t>
        </is>
      </c>
      <c r="E229" s="3" t="n">
        <v>28.79</v>
      </c>
    </row>
    <row r="230">
      <c r="A230" s="2" t="inlineStr">
        <is>
          <t>bricksdirect</t>
        </is>
      </c>
      <c r="B230" s="2" t="n">
        <v>42695</v>
      </c>
      <c r="C230" s="2" t="inlineStr">
        <is>
          <t>Lego Friends</t>
        </is>
      </c>
      <c r="D230" s="2" t="inlineStr">
        <is>
          <t>LEGO 42695 Horse &amp; Baby Foal Trailer</t>
        </is>
      </c>
      <c r="E230" s="3" t="n">
        <v>28.79</v>
      </c>
    </row>
    <row r="231">
      <c r="A231" s="2" t="inlineStr">
        <is>
          <t>bricksdirect</t>
        </is>
      </c>
      <c r="B231" s="2" t="n">
        <v>42694</v>
      </c>
      <c r="C231" s="2" t="inlineStr">
        <is>
          <t>Lego Friends</t>
        </is>
      </c>
      <c r="D231" s="2" t="inlineStr">
        <is>
          <t>LEGO 42694 Pizza Truck</t>
        </is>
      </c>
      <c r="E231" s="3" t="n">
        <v>14.39</v>
      </c>
    </row>
    <row r="232">
      <c r="A232" s="2" t="inlineStr">
        <is>
          <t>bricksdirect</t>
        </is>
      </c>
      <c r="B232" s="2" t="n">
        <v>42693</v>
      </c>
      <c r="C232" s="2" t="inlineStr">
        <is>
          <t>Lego Friends</t>
        </is>
      </c>
      <c r="D232" s="2" t="inlineStr">
        <is>
          <t>LEGO 42693 Creative Flower Shop</t>
        </is>
      </c>
      <c r="E232" s="3" t="n">
        <v>28.79</v>
      </c>
    </row>
    <row r="233">
      <c r="A233" s="2" t="inlineStr">
        <is>
          <t>bricksdirect</t>
        </is>
      </c>
      <c r="B233" s="2" t="n">
        <v>42692</v>
      </c>
      <c r="C233" s="2" t="inlineStr">
        <is>
          <t>Lego Friends</t>
        </is>
      </c>
      <c r="D233" s="2" t="inlineStr">
        <is>
          <t>LEGO 42692 Ice Cream &amp; Balloon Stand</t>
        </is>
      </c>
      <c r="E233" s="3" t="n">
        <v>9.960000000000001</v>
      </c>
    </row>
    <row r="234">
      <c r="A234" s="2" t="inlineStr">
        <is>
          <t>bricksdirect</t>
        </is>
      </c>
      <c r="B234" s="2" t="n">
        <v>42691</v>
      </c>
      <c r="C234" s="2" t="inlineStr">
        <is>
          <t>Lego Friends</t>
        </is>
      </c>
      <c r="D234" s="2" t="inlineStr">
        <is>
          <t>LEGO 42691 Garden Restaurant</t>
        </is>
      </c>
      <c r="E234" s="3" t="n">
        <v>170.6</v>
      </c>
    </row>
    <row r="235">
      <c r="A235" s="2" t="inlineStr">
        <is>
          <t>bricksdirect</t>
        </is>
      </c>
      <c r="B235" s="2" t="n">
        <v>42690</v>
      </c>
      <c r="C235" s="2" t="inlineStr">
        <is>
          <t>Lego Friends</t>
        </is>
      </c>
      <c r="D235" s="2" t="inlineStr">
        <is>
          <t>LEGO 42690 Forest Tea Party</t>
        </is>
      </c>
      <c r="E235" s="3" t="n">
        <v>9.960000000000001</v>
      </c>
    </row>
    <row r="236">
      <c r="A236" s="2" t="inlineStr">
        <is>
          <t>bricksdirect</t>
        </is>
      </c>
      <c r="B236" s="2" t="n">
        <v>42689</v>
      </c>
      <c r="C236" s="2" t="inlineStr">
        <is>
          <t>Lego Friends</t>
        </is>
      </c>
      <c r="D236" s="2" t="inlineStr">
        <is>
          <t>LEGO 42689 Heartlake City Friends Club House</t>
        </is>
      </c>
      <c r="E236" s="3" t="n">
        <v>85.29000000000001</v>
      </c>
    </row>
    <row r="237">
      <c r="A237" s="2" t="inlineStr">
        <is>
          <t>bricksdirect</t>
        </is>
      </c>
      <c r="B237" s="2" t="n">
        <v>42688</v>
      </c>
      <c r="C237" s="2" t="inlineStr">
        <is>
          <t>Lego Friends</t>
        </is>
      </c>
      <c r="D237" s="2" t="inlineStr">
        <is>
          <t>LEGO 42688 Horse Stable and Riding Academy</t>
        </is>
      </c>
      <c r="E237" s="3" t="n">
        <v>75.33</v>
      </c>
    </row>
    <row r="238">
      <c r="A238" s="2" t="inlineStr">
        <is>
          <t>bricksdirect</t>
        </is>
      </c>
      <c r="B238" s="2" t="n">
        <v>42687</v>
      </c>
      <c r="C238" s="2" t="inlineStr">
        <is>
          <t>Lego Friends</t>
        </is>
      </c>
      <c r="D238" s="2" t="inlineStr">
        <is>
          <t>LEGO 42687 Liann’s Family House</t>
        </is>
      </c>
      <c r="E238" s="3" t="n">
        <v>66.45999999999999</v>
      </c>
    </row>
    <row r="239">
      <c r="A239" s="2" t="inlineStr">
        <is>
          <t>bricksdirect</t>
        </is>
      </c>
      <c r="B239" s="2" t="n">
        <v>42686</v>
      </c>
      <c r="C239" s="2" t="inlineStr">
        <is>
          <t>Lego Friends</t>
        </is>
      </c>
      <c r="D239" s="2" t="inlineStr">
        <is>
          <t>LEGO 42686 Fun Indoor Playground</t>
        </is>
      </c>
      <c r="E239" s="3" t="n">
        <v>56.49</v>
      </c>
    </row>
    <row r="240">
      <c r="A240" s="2" t="inlineStr">
        <is>
          <t>bricksdirect</t>
        </is>
      </c>
      <c r="B240" s="2" t="n">
        <v>42685</v>
      </c>
      <c r="C240" s="2" t="inlineStr">
        <is>
          <t>Lego Friends</t>
        </is>
      </c>
      <c r="D240" s="2" t="inlineStr">
        <is>
          <t>LEGO 42685 Heartlake City Fashion Show</t>
        </is>
      </c>
      <c r="E240" s="3" t="n">
        <v>47.63</v>
      </c>
    </row>
    <row r="241">
      <c r="A241" s="2" t="inlineStr">
        <is>
          <t>bricksdirect</t>
        </is>
      </c>
      <c r="B241" s="2" t="n">
        <v>42684</v>
      </c>
      <c r="C241" s="2" t="inlineStr">
        <is>
          <t>Lego Friends</t>
        </is>
      </c>
      <c r="D241" s="2" t="inlineStr">
        <is>
          <t>LEGO 42684 Unicorn Dream Café</t>
        </is>
      </c>
      <c r="E241" s="3" t="n">
        <v>37.66</v>
      </c>
    </row>
    <row r="242">
      <c r="A242" s="2" t="inlineStr">
        <is>
          <t>bricksdirect</t>
        </is>
      </c>
      <c r="B242" s="2" t="n">
        <v>42682</v>
      </c>
      <c r="C242" s="2" t="inlineStr">
        <is>
          <t>Lego Friends</t>
        </is>
      </c>
      <c r="D242" s="2" t="inlineStr">
        <is>
          <t>LEGO 42682 Nature Glamping Cabin</t>
        </is>
      </c>
      <c r="E242" s="3" t="n">
        <v>24.36</v>
      </c>
    </row>
    <row r="243">
      <c r="A243" s="2" t="inlineStr">
        <is>
          <t>bricksdirect</t>
        </is>
      </c>
      <c r="B243" s="2" t="n">
        <v>42681</v>
      </c>
      <c r="C243" s="2" t="inlineStr">
        <is>
          <t>Lego Friends</t>
        </is>
      </c>
      <c r="D243" s="2" t="inlineStr">
        <is>
          <t>LEGO 42681 Axolotl Adventure Boat</t>
        </is>
      </c>
      <c r="E243" s="3" t="n">
        <v>9.960000000000001</v>
      </c>
    </row>
    <row r="244">
      <c r="A244" s="2" t="inlineStr">
        <is>
          <t>bricksdirect</t>
        </is>
      </c>
      <c r="B244" s="2" t="n">
        <v>42680</v>
      </c>
      <c r="C244" s="2" t="inlineStr">
        <is>
          <t>Lego Friends</t>
        </is>
      </c>
      <c r="D244" s="2" t="inlineStr">
        <is>
          <t>LEGO 42680 Heartlake City Convenience Store</t>
        </is>
      </c>
      <c r="E244" s="3" t="n">
        <v>18.82</v>
      </c>
    </row>
    <row r="245">
      <c r="A245" s="2" t="inlineStr">
        <is>
          <t>bricksdirect</t>
        </is>
      </c>
      <c r="B245" s="2" t="n">
        <v>42679</v>
      </c>
      <c r="C245" s="2" t="inlineStr">
        <is>
          <t>Lego Friends</t>
        </is>
      </c>
      <c r="D245" s="2" t="inlineStr">
        <is>
          <t>LEGO 42679 Heartlake City Bunny Hotel</t>
        </is>
      </c>
      <c r="E245" s="3" t="n">
        <v>24.36</v>
      </c>
    </row>
    <row r="246">
      <c r="A246" s="2" t="inlineStr">
        <is>
          <t>bricksdirect</t>
        </is>
      </c>
      <c r="B246" s="2" t="n">
        <v>42678</v>
      </c>
      <c r="C246" s="2" t="inlineStr">
        <is>
          <t>Lego Friends</t>
        </is>
      </c>
      <c r="D246" s="2" t="inlineStr">
        <is>
          <t>LEGO 42678 Pet Accessories Van</t>
        </is>
      </c>
      <c r="E246" s="3" t="n">
        <v>18.82</v>
      </c>
    </row>
    <row r="247">
      <c r="A247" s="2" t="inlineStr">
        <is>
          <t>bricksdirect</t>
        </is>
      </c>
      <c r="B247" s="2" t="n">
        <v>42677</v>
      </c>
      <c r="C247" s="2" t="inlineStr">
        <is>
          <t>Lego Friends</t>
        </is>
      </c>
      <c r="D247" s="2" t="inlineStr">
        <is>
          <t>LEGO 42677 Dog Treats Bakery</t>
        </is>
      </c>
      <c r="E247" s="3" t="n">
        <v>28.79</v>
      </c>
    </row>
    <row r="248">
      <c r="A248" s="2" t="inlineStr">
        <is>
          <t>bricksdirect</t>
        </is>
      </c>
      <c r="B248" s="2" t="n">
        <v>42676</v>
      </c>
      <c r="C248" s="2" t="inlineStr">
        <is>
          <t>Lego Friends</t>
        </is>
      </c>
      <c r="D248" s="2" t="inlineStr">
        <is>
          <t>LEGO 42676 Fun Water Park Day</t>
        </is>
      </c>
      <c r="E248" s="3" t="n">
        <v>28.79</v>
      </c>
    </row>
    <row r="249">
      <c r="A249" s="2" t="inlineStr">
        <is>
          <t>bricksdirect</t>
        </is>
      </c>
      <c r="B249" s="2" t="n">
        <v>42675</v>
      </c>
      <c r="C249" s="2" t="inlineStr">
        <is>
          <t>Lego Friends</t>
        </is>
      </c>
      <c r="D249" s="2" t="inlineStr">
        <is>
          <t>LEGO 42675 Unicorn Cake Delivery Car</t>
        </is>
      </c>
      <c r="E249" s="3" t="n">
        <v>9.960000000000001</v>
      </c>
    </row>
    <row r="250">
      <c r="A250" s="2" t="inlineStr">
        <is>
          <t>bricksdirect</t>
        </is>
      </c>
      <c r="B250" s="2" t="n">
        <v>42674</v>
      </c>
      <c r="C250" s="2" t="inlineStr">
        <is>
          <t>Lego Friends</t>
        </is>
      </c>
      <c r="D250" s="2" t="inlineStr">
        <is>
          <t>LEGO 42674 Comic Book and Game Store</t>
        </is>
      </c>
      <c r="E250" s="3" t="n">
        <v>110.78</v>
      </c>
    </row>
    <row r="251">
      <c r="A251" s="2" t="inlineStr">
        <is>
          <t>bricksdirect</t>
        </is>
      </c>
      <c r="B251" s="2" t="n">
        <v>42673</v>
      </c>
      <c r="C251" s="2" t="inlineStr">
        <is>
          <t>Lego Friends</t>
        </is>
      </c>
      <c r="D251" s="2" t="inlineStr">
        <is>
          <t>LEGO 42673 Family Vacation Beach Resort</t>
        </is>
      </c>
      <c r="E251" s="3" t="n">
        <v>144.01</v>
      </c>
    </row>
    <row r="252">
      <c r="A252" s="2" t="inlineStr">
        <is>
          <t>bricksdirect</t>
        </is>
      </c>
      <c r="B252" s="2" t="n">
        <v>42672</v>
      </c>
      <c r="C252" s="2" t="inlineStr">
        <is>
          <t>Lego Friends</t>
        </is>
      </c>
      <c r="D252" s="2" t="inlineStr">
        <is>
          <t>LEGO 42672 Creative Beach and Travel Suitcase</t>
        </is>
      </c>
      <c r="E252" s="3" t="n">
        <v>33.23</v>
      </c>
    </row>
    <row r="253">
      <c r="A253" s="2" t="inlineStr">
        <is>
          <t>bricksdirect</t>
        </is>
      </c>
      <c r="B253" s="2" t="n">
        <v>42671</v>
      </c>
      <c r="C253" s="2" t="inlineStr">
        <is>
          <t>Lego Friends</t>
        </is>
      </c>
      <c r="D253" s="2" t="inlineStr">
        <is>
          <t>LEGO 42671 Plant Café &amp; Flower Shop</t>
        </is>
      </c>
      <c r="E253" s="3" t="n">
        <v>99.69</v>
      </c>
    </row>
    <row r="254">
      <c r="A254" s="2" t="inlineStr">
        <is>
          <t>bricksdirect</t>
        </is>
      </c>
      <c r="B254" s="2" t="n">
        <v>42669</v>
      </c>
      <c r="C254" s="2" t="inlineStr">
        <is>
          <t>Lego Friends</t>
        </is>
      </c>
      <c r="D254" s="2" t="inlineStr">
        <is>
          <t>LEGO 42669 Beekeepers’ House and Flower Garden</t>
        </is>
      </c>
      <c r="E254" s="3" t="n">
        <v>110.78</v>
      </c>
    </row>
    <row r="255">
      <c r="A255" s="2" t="inlineStr">
        <is>
          <t>bricksdirect</t>
        </is>
      </c>
      <c r="B255" s="2" t="n">
        <v>42668</v>
      </c>
      <c r="C255" s="2" t="inlineStr">
        <is>
          <t>Lego Friends</t>
        </is>
      </c>
      <c r="D255" s="2" t="inlineStr">
        <is>
          <t>LEGO 42668 Advent Calendar 2025, Friends</t>
        </is>
      </c>
      <c r="E255" s="3" t="n">
        <v>29.9</v>
      </c>
    </row>
    <row r="256">
      <c r="A256" s="2" t="inlineStr">
        <is>
          <t>bricksdirect</t>
        </is>
      </c>
      <c r="B256" s="2" t="n">
        <v>42666</v>
      </c>
      <c r="C256" s="2" t="inlineStr">
        <is>
          <t>Lego Friends</t>
        </is>
      </c>
      <c r="D256" s="2" t="inlineStr">
        <is>
          <t>LEGO 42666 Cat Birthday Party &amp; Tree House</t>
        </is>
      </c>
      <c r="E256" s="3" t="n">
        <v>26.58</v>
      </c>
    </row>
    <row r="257">
      <c r="A257" s="2" t="inlineStr">
        <is>
          <t>bricksdirect</t>
        </is>
      </c>
      <c r="B257" s="2" t="n">
        <v>42665</v>
      </c>
      <c r="C257" s="2" t="inlineStr">
        <is>
          <t>Lego Friends</t>
        </is>
      </c>
      <c r="D257" s="2" t="inlineStr">
        <is>
          <t>LEGO 42665 Puppy Playground</t>
        </is>
      </c>
      <c r="E257" s="3" t="n">
        <v>8.85</v>
      </c>
    </row>
    <row r="258">
      <c r="A258" s="2" t="inlineStr">
        <is>
          <t>bricksdirect</t>
        </is>
      </c>
      <c r="B258" s="2" t="n">
        <v>42664</v>
      </c>
      <c r="C258" s="2" t="inlineStr">
        <is>
          <t>Lego Friends</t>
        </is>
      </c>
      <c r="D258" s="2" t="inlineStr">
        <is>
          <t>LEGO 42664 Travel Boat Adventure</t>
        </is>
      </c>
      <c r="E258" s="3" t="n">
        <v>65.34999999999999</v>
      </c>
    </row>
    <row r="259">
      <c r="A259" s="2" t="inlineStr">
        <is>
          <t>bricksdirect</t>
        </is>
      </c>
      <c r="B259" s="2" t="n">
        <v>42663</v>
      </c>
      <c r="C259" s="2" t="inlineStr">
        <is>
          <t>Lego Friends</t>
        </is>
      </c>
      <c r="D259" s="2" t="inlineStr">
        <is>
          <t>LEGO 42663 Friendship Camper Van Adventure</t>
        </is>
      </c>
      <c r="E259" s="3" t="n">
        <v>52.06</v>
      </c>
    </row>
    <row r="260">
      <c r="A260" s="2" t="inlineStr">
        <is>
          <t>bricksdirect</t>
        </is>
      </c>
      <c r="B260" s="2" t="n">
        <v>42662</v>
      </c>
      <c r="C260" s="2" t="inlineStr">
        <is>
          <t>Lego Friends</t>
        </is>
      </c>
      <c r="D260" s="2" t="inlineStr">
        <is>
          <t>LEGO 42662 Hair Salon and Accessories Store</t>
        </is>
      </c>
      <c r="E260" s="3" t="n">
        <v>49.84</v>
      </c>
    </row>
    <row r="261">
      <c r="A261" s="2" t="inlineStr">
        <is>
          <t>bricksdirect</t>
        </is>
      </c>
      <c r="B261" s="2" t="n">
        <v>42661</v>
      </c>
      <c r="C261" s="2" t="inlineStr">
        <is>
          <t>Lego Friends</t>
        </is>
      </c>
      <c r="D261" s="2" t="inlineStr">
        <is>
          <t>LEGO 42661 Costume Party with Unicorn &amp; Fairy</t>
        </is>
      </c>
      <c r="E261" s="3" t="n">
        <v>35.44</v>
      </c>
    </row>
    <row r="262">
      <c r="A262" s="2" t="inlineStr">
        <is>
          <t>bricksdirect</t>
        </is>
      </c>
      <c r="B262" s="2" t="n">
        <v>42659</v>
      </c>
      <c r="C262" s="2" t="inlineStr">
        <is>
          <t>Lego Friends</t>
        </is>
      </c>
      <c r="D262" s="2" t="inlineStr">
        <is>
          <t>LEGO 42659 Friendship Road-Trip Travel Car</t>
        </is>
      </c>
      <c r="E262" s="3" t="n">
        <v>17.71</v>
      </c>
    </row>
    <row r="263">
      <c r="A263" s="2" t="inlineStr">
        <is>
          <t>bricksdirect</t>
        </is>
      </c>
      <c r="B263" s="2" t="n">
        <v>42658</v>
      </c>
      <c r="C263" s="2" t="inlineStr">
        <is>
          <t>Lego Friends</t>
        </is>
      </c>
      <c r="D263" s="2" t="inlineStr">
        <is>
          <t>LEGO 42658 Unicorn &amp; Flamingo Pool Party</t>
        </is>
      </c>
      <c r="E263" s="3" t="n">
        <v>11.07</v>
      </c>
    </row>
    <row r="264">
      <c r="A264" s="2" t="inlineStr">
        <is>
          <t>bricksdirect</t>
        </is>
      </c>
      <c r="B264" s="2" t="n">
        <v>42654</v>
      </c>
      <c r="C264" s="2" t="inlineStr">
        <is>
          <t>Lego Friends</t>
        </is>
      </c>
      <c r="D264" s="2" t="inlineStr">
        <is>
          <t>LEGO 42654 Pony Ranch &amp; Stable</t>
        </is>
      </c>
      <c r="E264" s="3" t="n">
        <v>77.54000000000001</v>
      </c>
    </row>
    <row r="265">
      <c r="A265" s="2" t="inlineStr">
        <is>
          <t>bricksdirect</t>
        </is>
      </c>
      <c r="B265" s="2" t="n">
        <v>42653</v>
      </c>
      <c r="C265" s="2" t="inlineStr">
        <is>
          <t>Lego Friends</t>
        </is>
      </c>
      <c r="D265" s="2" t="inlineStr">
        <is>
          <t>LEGO 42653 Music Store &amp; Apartment</t>
        </is>
      </c>
      <c r="E265" s="3" t="n">
        <v>55.38</v>
      </c>
    </row>
    <row r="266">
      <c r="A266" s="2" t="inlineStr">
        <is>
          <t>bricksdirect</t>
        </is>
      </c>
      <c r="B266" s="2" t="n">
        <v>42652</v>
      </c>
      <c r="C266" s="2" t="inlineStr">
        <is>
          <t>Lego Friends</t>
        </is>
      </c>
      <c r="D266" s="2" t="inlineStr">
        <is>
          <t>LEGO 42652 Friendship Tree House Hangout</t>
        </is>
      </c>
      <c r="E266" s="3" t="n">
        <v>77.54000000000001</v>
      </c>
    </row>
    <row r="267">
      <c r="A267" s="2" t="inlineStr">
        <is>
          <t>bricksdirect</t>
        </is>
      </c>
      <c r="B267" s="2" t="n">
        <v>42651</v>
      </c>
      <c r="C267" s="2" t="inlineStr">
        <is>
          <t>Lego Friends</t>
        </is>
      </c>
      <c r="D267" s="2" t="inlineStr">
        <is>
          <t>LEGO 42651 Horse and Pet Vet Clinic</t>
        </is>
      </c>
      <c r="E267" s="3" t="n">
        <v>66.45999999999999</v>
      </c>
    </row>
    <row r="268">
      <c r="A268" s="2" t="inlineStr">
        <is>
          <t>bricksdirect</t>
        </is>
      </c>
      <c r="B268" s="2" t="n">
        <v>42650</v>
      </c>
      <c r="C268" s="2" t="inlineStr">
        <is>
          <t>Lego Friends</t>
        </is>
      </c>
      <c r="D268" s="2" t="inlineStr">
        <is>
          <t>LEGO 42650 Pet Accessories Shop</t>
        </is>
      </c>
      <c r="E268" s="3" t="n">
        <v>35.44</v>
      </c>
    </row>
    <row r="269">
      <c r="A269" s="2" t="inlineStr">
        <is>
          <t>bricksdirect</t>
        </is>
      </c>
      <c r="B269" s="2" t="n">
        <v>42649</v>
      </c>
      <c r="C269" s="2" t="inlineStr">
        <is>
          <t>Lego Friends</t>
        </is>
      </c>
      <c r="D269" s="2" t="inlineStr">
        <is>
          <t>LEGO 42649 Heartlake City Candy Store</t>
        </is>
      </c>
      <c r="E269" s="3" t="n">
        <v>26.58</v>
      </c>
    </row>
    <row r="270">
      <c r="A270" s="2" t="inlineStr">
        <is>
          <t>bricksdirect</t>
        </is>
      </c>
      <c r="B270" s="2" t="n">
        <v>42648</v>
      </c>
      <c r="C270" s="2" t="inlineStr">
        <is>
          <t>Lego Friends</t>
        </is>
      </c>
      <c r="D270" s="2" t="inlineStr">
        <is>
          <t>LEGO 42648 Panda Sanctuary Animal Care</t>
        </is>
      </c>
      <c r="E270" s="3" t="n">
        <v>33.23</v>
      </c>
    </row>
    <row r="271">
      <c r="A271" s="2" t="inlineStr">
        <is>
          <t>bricksdirect</t>
        </is>
      </c>
      <c r="B271" s="2" t="n">
        <v>42647</v>
      </c>
      <c r="C271" s="2" t="inlineStr">
        <is>
          <t>Lego Friends</t>
        </is>
      </c>
      <c r="D271" s="2" t="inlineStr">
        <is>
          <t>LEGO 42647 Paisley’s Room</t>
        </is>
      </c>
      <c r="E271" s="3" t="n">
        <v>22.15</v>
      </c>
    </row>
    <row r="272">
      <c r="A272" s="2" t="inlineStr">
        <is>
          <t>bricksdirect</t>
        </is>
      </c>
      <c r="B272" s="2" t="n">
        <v>42646</v>
      </c>
      <c r="C272" s="2" t="inlineStr">
        <is>
          <t>Lego Friends</t>
        </is>
      </c>
      <c r="D272" s="2" t="inlineStr">
        <is>
          <t>LEGO 42646 Autumn’s Room</t>
        </is>
      </c>
      <c r="E272" s="3" t="n">
        <v>22.15</v>
      </c>
    </row>
    <row r="273">
      <c r="A273" s="2" t="inlineStr">
        <is>
          <t>bricksdirect</t>
        </is>
      </c>
      <c r="B273" s="2" t="n">
        <v>42644</v>
      </c>
      <c r="C273" s="2" t="inlineStr">
        <is>
          <t>Lego Friends</t>
        </is>
      </c>
      <c r="D273" s="2" t="inlineStr">
        <is>
          <t>LEGO 42644 Heartlake City Ice Cream Truck</t>
        </is>
      </c>
      <c r="E273" s="3" t="n">
        <v>17.71</v>
      </c>
    </row>
    <row r="274">
      <c r="A274" s="2" t="inlineStr">
        <is>
          <t>bricksdirect</t>
        </is>
      </c>
      <c r="B274" s="2" t="n">
        <v>42642</v>
      </c>
      <c r="C274" s="2" t="inlineStr">
        <is>
          <t>Lego Friends</t>
        </is>
      </c>
      <c r="D274" s="2" t="inlineStr">
        <is>
          <t>LEGO 42642 Friendship Movie Night</t>
        </is>
      </c>
      <c r="E274" s="3" t="n">
        <v>16.61</v>
      </c>
    </row>
    <row r="275">
      <c r="A275" s="2" t="inlineStr">
        <is>
          <t>bricksdirect</t>
        </is>
      </c>
      <c r="B275" s="2" t="n">
        <v>42641</v>
      </c>
      <c r="C275" s="2" t="inlineStr">
        <is>
          <t>Lego Friends</t>
        </is>
      </c>
      <c r="D275" s="2" t="inlineStr">
        <is>
          <t>LEGO 42641 Surfing Dogs and Scooter Adventure</t>
        </is>
      </c>
      <c r="E275" s="3" t="n">
        <v>16.61</v>
      </c>
    </row>
    <row r="276">
      <c r="A276" s="2" t="inlineStr">
        <is>
          <t>bricksdirect</t>
        </is>
      </c>
      <c r="B276" s="2" t="n">
        <v>42638</v>
      </c>
      <c r="C276" s="2" t="inlineStr">
        <is>
          <t>Lego Friends</t>
        </is>
      </c>
      <c r="D276" s="2" t="inlineStr">
        <is>
          <t>LEGO 42638 Castle Bed and Breakfast</t>
        </is>
      </c>
      <c r="E276" s="3" t="n">
        <v>132.93</v>
      </c>
    </row>
    <row r="277">
      <c r="A277" s="2" t="inlineStr">
        <is>
          <t>bricksdirect</t>
        </is>
      </c>
      <c r="B277" s="2" t="n">
        <v>42635</v>
      </c>
      <c r="C277" s="2" t="inlineStr">
        <is>
          <t>Lego Friends</t>
        </is>
      </c>
      <c r="D277" s="2" t="inlineStr">
        <is>
          <t>LEGO 42635 Dog-Grooming Car</t>
        </is>
      </c>
      <c r="E277" s="3" t="n">
        <v>11.07</v>
      </c>
    </row>
    <row r="278">
      <c r="A278" s="2" t="inlineStr">
        <is>
          <t>JB Spielwaren</t>
        </is>
      </c>
      <c r="B278" s="2" t="n">
        <v>75455</v>
      </c>
      <c r="C278" s="2" t="inlineStr">
        <is>
          <t>Lego Star Wars</t>
        </is>
      </c>
      <c r="D278" s="2" t="inlineStr">
        <is>
          <t>LEGO 75455 Boba Fett™</t>
        </is>
      </c>
      <c r="E278" s="3" t="n">
        <v>144.49</v>
      </c>
    </row>
    <row r="279">
      <c r="A279" s="2" t="inlineStr">
        <is>
          <t>JB Spielwaren</t>
        </is>
      </c>
      <c r="B279" s="2" t="n">
        <v>75454</v>
      </c>
      <c r="C279" s="2" t="inlineStr">
        <is>
          <t>Lego Star Wars</t>
        </is>
      </c>
      <c r="D279" s="2" t="inlineStr">
        <is>
          <t>LEGO 75454 Imperial Remnant AT-AT™ with INT-4</t>
        </is>
      </c>
      <c r="E279" s="3" t="n">
        <v>135.99</v>
      </c>
    </row>
    <row r="280">
      <c r="A280" s="2" t="inlineStr">
        <is>
          <t>JB Spielwaren</t>
        </is>
      </c>
      <c r="B280" s="2" t="n">
        <v>75453</v>
      </c>
      <c r="C280" s="2" t="inlineStr">
        <is>
          <t>Lego Star Wars</t>
        </is>
      </c>
      <c r="D280" s="2" t="inlineStr">
        <is>
          <t>LEGO 75453 Offworld Sandcrawler™ and Mudhorn</t>
        </is>
      </c>
      <c r="E280" s="3" t="n">
        <v>169.99</v>
      </c>
    </row>
    <row r="281">
      <c r="A281" s="2" t="inlineStr">
        <is>
          <t>JB Spielwaren</t>
        </is>
      </c>
      <c r="B281" s="2" t="n">
        <v>75461</v>
      </c>
      <c r="C281" s="2" t="inlineStr">
        <is>
          <t>Lego Star Wars</t>
        </is>
      </c>
      <c r="D281" s="2" t="inlineStr">
        <is>
          <t>LEGO 75461 Up-Scaled Darth Vader™ Minifigure</t>
        </is>
      </c>
      <c r="E281" s="3" t="n">
        <v>99.98999999999999</v>
      </c>
    </row>
    <row r="282">
      <c r="A282" s="2" t="inlineStr">
        <is>
          <t>JB Spielwaren</t>
        </is>
      </c>
      <c r="B282" s="2" t="n">
        <v>75458</v>
      </c>
      <c r="C282" s="2" t="inlineStr">
        <is>
          <t>Lego Star Wars</t>
        </is>
      </c>
      <c r="D282" s="2" t="inlineStr">
        <is>
          <t>LEGO 75458 mperial Remnant AT-RT Driver™ Helmet</t>
        </is>
      </c>
      <c r="E282" s="3" t="n">
        <v>69.98999999999999</v>
      </c>
    </row>
    <row r="283">
      <c r="A283" s="2" t="inlineStr">
        <is>
          <t>JB Spielwaren</t>
        </is>
      </c>
      <c r="B283" s="2" t="n">
        <v>75459</v>
      </c>
      <c r="C283" s="2" t="inlineStr">
        <is>
          <t>Lego Star Wars</t>
        </is>
      </c>
      <c r="D283" s="2" t="inlineStr">
        <is>
          <t>LEGO 75459 Imperial Lambda-Class Shuttle</t>
        </is>
      </c>
      <c r="E283" s="3" t="n">
        <v>149.99</v>
      </c>
    </row>
    <row r="284">
      <c r="A284" s="2" t="inlineStr">
        <is>
          <t>JB Spielwaren</t>
        </is>
      </c>
      <c r="B284" s="2" t="n">
        <v>75456</v>
      </c>
      <c r="C284" s="2" t="inlineStr">
        <is>
          <t>Lego Star Wars</t>
        </is>
      </c>
      <c r="D284" s="2" t="inlineStr">
        <is>
          <t>LEGO 75456 Advent Calendar 2026</t>
        </is>
      </c>
      <c r="E284" s="3" t="n">
        <v>29.74</v>
      </c>
    </row>
    <row r="285">
      <c r="A285" s="2" t="inlineStr">
        <is>
          <t>JB Spielwaren</t>
        </is>
      </c>
      <c r="B285" s="2" t="n">
        <v>75451</v>
      </c>
      <c r="C285" s="2" t="inlineStr">
        <is>
          <t>Lego Star Wars</t>
        </is>
      </c>
      <c r="D285" s="2" t="inlineStr">
        <is>
          <t>LEGO 75451 Hutt Palace Sentry Droid Showdown</t>
        </is>
      </c>
      <c r="E285" s="3" t="n">
        <v>42.49</v>
      </c>
    </row>
    <row r="286">
      <c r="A286" s="2" t="inlineStr">
        <is>
          <t>JB Spielwaren</t>
        </is>
      </c>
      <c r="B286" s="2" t="n">
        <v>75442</v>
      </c>
      <c r="C286" s="2" t="inlineStr">
        <is>
          <t>Lego Star Wars</t>
        </is>
      </c>
      <c r="D286" s="2" t="inlineStr">
        <is>
          <t>LEGO 75442 The Mandalorian N-1 Starfighter</t>
        </is>
      </c>
      <c r="E286" s="3" t="n">
        <v>249.99</v>
      </c>
    </row>
    <row r="287">
      <c r="A287" s="2" t="inlineStr">
        <is>
          <t>JB Spielwaren</t>
        </is>
      </c>
      <c r="B287" s="2" t="n">
        <v>30728</v>
      </c>
      <c r="C287" s="2" t="inlineStr">
        <is>
          <t>Lego Star Wars</t>
        </is>
      </c>
      <c r="D287" s="2" t="inlineStr">
        <is>
          <t>LEGO 30728 The Razor Crest™ Mini-Build</t>
        </is>
      </c>
      <c r="E287" s="3" t="n">
        <v>3.19</v>
      </c>
    </row>
    <row r="288">
      <c r="A288" s="2" t="inlineStr">
        <is>
          <t>JB Spielwaren</t>
        </is>
      </c>
      <c r="B288" s="2" t="n">
        <v>75445</v>
      </c>
      <c r="C288" s="2" t="inlineStr">
        <is>
          <t>Lego Star Wars</t>
        </is>
      </c>
      <c r="D288" s="2" t="inlineStr">
        <is>
          <t>LEGO 75445 Anzellan Starship</t>
        </is>
      </c>
      <c r="E288" s="3" t="n">
        <v>63.74</v>
      </c>
    </row>
    <row r="289">
      <c r="A289" s="2" t="inlineStr">
        <is>
          <t>JB Spielwaren</t>
        </is>
      </c>
      <c r="B289" s="2" t="n">
        <v>75447</v>
      </c>
      <c r="C289" s="2" t="inlineStr">
        <is>
          <t>Lego Star Wars</t>
        </is>
      </c>
      <c r="D289" s="2" t="inlineStr">
        <is>
          <t>LEGO 75447 The Razor Crest™</t>
        </is>
      </c>
      <c r="E289" s="3" t="n">
        <v>127.49</v>
      </c>
    </row>
    <row r="290">
      <c r="A290" s="2" t="inlineStr">
        <is>
          <t>JB Spielwaren</t>
        </is>
      </c>
      <c r="B290" s="2" t="n">
        <v>75446</v>
      </c>
      <c r="C290" s="2" t="inlineStr">
        <is>
          <t>Lego Star Wars</t>
        </is>
      </c>
      <c r="D290" s="2" t="inlineStr">
        <is>
          <t>LEGO 75446 Grogu™ (apprenti du Mandalorien)</t>
        </is>
      </c>
      <c r="E290" s="3" t="n">
        <v>110.49</v>
      </c>
    </row>
    <row r="291">
      <c r="A291" s="2" t="inlineStr">
        <is>
          <t>JB Spielwaren</t>
        </is>
      </c>
      <c r="B291" s="2" t="n">
        <v>75439</v>
      </c>
      <c r="C291" s="2" t="inlineStr">
        <is>
          <t>Lego Star Wars</t>
        </is>
      </c>
      <c r="D291" s="2" t="inlineStr">
        <is>
          <t>LEGO 75439 Darth Vader™ Bust</t>
        </is>
      </c>
      <c r="E291" s="3" t="n">
        <v>39.99</v>
      </c>
    </row>
    <row r="292">
      <c r="A292" s="2" t="inlineStr">
        <is>
          <t>JB Spielwaren</t>
        </is>
      </c>
      <c r="B292" s="2" t="n">
        <v>75438</v>
      </c>
      <c r="C292" s="2" t="inlineStr">
        <is>
          <t>Lego Star Wars</t>
        </is>
      </c>
      <c r="D292" s="2" t="inlineStr">
        <is>
          <t>LEGO 75438 Yoda™ Bust</t>
        </is>
      </c>
      <c r="E292" s="3" t="n">
        <v>31.99</v>
      </c>
    </row>
    <row r="293">
      <c r="A293" s="2" t="inlineStr">
        <is>
          <t>JB Spielwaren</t>
        </is>
      </c>
      <c r="B293" s="2" t="n">
        <v>75444</v>
      </c>
      <c r="C293" s="2" t="inlineStr">
        <is>
          <t>Lego Star Wars</t>
        </is>
      </c>
      <c r="D293" s="2" t="inlineStr">
        <is>
          <t>LEGO 75444 AT-RT™ Attack</t>
        </is>
      </c>
      <c r="E293" s="3" t="n">
        <v>38.24</v>
      </c>
    </row>
    <row r="294">
      <c r="A294" s="2" t="inlineStr">
        <is>
          <t>JB Spielwaren</t>
        </is>
      </c>
      <c r="B294" s="2" t="n">
        <v>75449</v>
      </c>
      <c r="C294" s="2" t="inlineStr">
        <is>
          <t>Lego Star Wars</t>
        </is>
      </c>
      <c r="D294" s="2" t="inlineStr">
        <is>
          <t>LEGO 75449 Siege of Mandalore Battle Pack</t>
        </is>
      </c>
      <c r="E294" s="3" t="n">
        <v>16.99</v>
      </c>
    </row>
    <row r="295">
      <c r="A295" s="2" t="inlineStr">
        <is>
          <t>JB Spielwaren</t>
        </is>
      </c>
      <c r="B295" s="2" t="n">
        <v>75452</v>
      </c>
      <c r="C295" s="2" t="inlineStr">
        <is>
          <t>Lego Star Wars</t>
        </is>
      </c>
      <c r="D295" s="2" t="inlineStr">
        <is>
          <t>LEGO 75452 The astromech droid BB-8</t>
        </is>
      </c>
      <c r="E295" s="3" t="n">
        <v>62.99</v>
      </c>
    </row>
    <row r="296">
      <c r="A296" s="2" t="inlineStr">
        <is>
          <t>JB Spielwaren</t>
        </is>
      </c>
      <c r="B296" s="2" t="n">
        <v>75440</v>
      </c>
      <c r="C296" s="2" t="inlineStr">
        <is>
          <t>Lego Star Wars</t>
        </is>
      </c>
      <c r="D296" s="2" t="inlineStr">
        <is>
          <t>LEGO 75440 AT-AT</t>
        </is>
      </c>
      <c r="E296" s="3" t="n">
        <v>55.24</v>
      </c>
    </row>
    <row r="297">
      <c r="A297" s="2" t="inlineStr">
        <is>
          <t>JB Spielwaren</t>
        </is>
      </c>
      <c r="B297" s="2" t="n">
        <v>75443</v>
      </c>
      <c r="C297" s="2" t="inlineStr">
        <is>
          <t>Lego Star Wars</t>
        </is>
      </c>
      <c r="D297" s="2" t="inlineStr">
        <is>
          <t>LEGO 75443 Grogu's Homestead</t>
        </is>
      </c>
      <c r="E297" s="3" t="n">
        <v>16.99</v>
      </c>
    </row>
    <row r="298">
      <c r="A298" s="2" t="inlineStr">
        <is>
          <t>JB Spielwaren</t>
        </is>
      </c>
      <c r="B298" s="2" t="n">
        <v>75448</v>
      </c>
      <c r="C298" s="2" t="inlineStr">
        <is>
          <t>Lego Star Wars</t>
        </is>
      </c>
      <c r="D298" s="2" t="inlineStr">
        <is>
          <t>LEGO 75448 Clone Shock Trooper™ Mech</t>
        </is>
      </c>
      <c r="E298" s="3" t="n">
        <v>12.74</v>
      </c>
    </row>
    <row r="299">
      <c r="A299" s="2" t="inlineStr">
        <is>
          <t>JB Spielwaren</t>
        </is>
      </c>
      <c r="B299" s="2" t="n">
        <v>75441</v>
      </c>
      <c r="C299" s="2" t="inlineStr">
        <is>
          <t>Lego Star Wars</t>
        </is>
      </c>
      <c r="D299" s="2" t="inlineStr">
        <is>
          <t>LEGO 75441 Venator-Class Attack Cruiser</t>
        </is>
      </c>
      <c r="E299" s="3" t="n">
        <v>63.99</v>
      </c>
    </row>
    <row r="300">
      <c r="A300" s="2" t="inlineStr">
        <is>
          <t>JB Spielwaren</t>
        </is>
      </c>
      <c r="B300" s="2" t="n">
        <v>75436</v>
      </c>
      <c r="C300" s="2" t="inlineStr">
        <is>
          <t>Lego Star Wars</t>
        </is>
      </c>
      <c r="D300" s="2" t="inlineStr">
        <is>
          <t>LEGO 75436 The Mandalorian &amp; Grogu's Speeder Bike™</t>
        </is>
      </c>
      <c r="E300" s="3" t="n">
        <v>8.49</v>
      </c>
    </row>
    <row r="301">
      <c r="A301" s="2" t="inlineStr">
        <is>
          <t>JB Spielwaren</t>
        </is>
      </c>
      <c r="B301" s="2" t="n">
        <v>75437</v>
      </c>
      <c r="C301" s="2" t="inlineStr">
        <is>
          <t>Lego Star Wars</t>
        </is>
      </c>
      <c r="D301" s="2" t="inlineStr">
        <is>
          <t>LEGO 75437 Cobb Vanth's Speeder</t>
        </is>
      </c>
      <c r="E301" s="3" t="n">
        <v>25.49</v>
      </c>
    </row>
    <row r="302">
      <c r="A302" s="2" t="inlineStr">
        <is>
          <t>JB Spielwaren</t>
        </is>
      </c>
      <c r="B302" s="2" t="n">
        <v>75430</v>
      </c>
      <c r="C302" s="2" t="inlineStr">
        <is>
          <t>Lego Star Wars</t>
        </is>
      </c>
      <c r="D302" s="2" t="inlineStr">
        <is>
          <t>LEGO 75430 The Ewok Wicket™</t>
        </is>
      </c>
      <c r="E302" s="3" t="n">
        <v>107.99</v>
      </c>
    </row>
    <row r="303">
      <c r="A303" s="2" t="inlineStr">
        <is>
          <t>JB Spielwaren</t>
        </is>
      </c>
      <c r="B303" s="2" t="n">
        <v>75419</v>
      </c>
      <c r="C303" s="2" t="inlineStr">
        <is>
          <t>Lego Star Wars</t>
        </is>
      </c>
      <c r="D303" s="2" t="inlineStr">
        <is>
          <t>LEGO 75419 Death Star</t>
        </is>
      </c>
      <c r="E303" s="3" t="n">
        <v>999.99</v>
      </c>
    </row>
    <row r="304">
      <c r="A304" s="2" t="inlineStr">
        <is>
          <t>JB Spielwaren</t>
        </is>
      </c>
      <c r="B304" s="2" t="n">
        <v>40771</v>
      </c>
      <c r="C304" s="2" t="inlineStr">
        <is>
          <t>Lego Star Wars</t>
        </is>
      </c>
      <c r="D304" s="2" t="inlineStr">
        <is>
          <t>LEGO 40771 TIE Fighter with Imperial Hangar Rack</t>
        </is>
      </c>
      <c r="E304" s="3" t="n">
        <v>159.99</v>
      </c>
    </row>
    <row r="305">
      <c r="A305" s="2" t="inlineStr">
        <is>
          <t>JB Spielwaren</t>
        </is>
      </c>
      <c r="B305" s="2" t="n">
        <v>75432</v>
      </c>
      <c r="C305" s="2" t="inlineStr">
        <is>
          <t>Lego Star Wars</t>
        </is>
      </c>
      <c r="D305" s="2" t="inlineStr">
        <is>
          <t>LEGO 75432 V-19 Torrent Starfighter</t>
        </is>
      </c>
      <c r="E305" s="3" t="n">
        <v>45</v>
      </c>
    </row>
    <row r="306">
      <c r="A306" s="2" t="inlineStr">
        <is>
          <t>JB Spielwaren</t>
        </is>
      </c>
      <c r="B306" s="2" t="n">
        <v>42698</v>
      </c>
      <c r="C306" s="2" t="inlineStr">
        <is>
          <t>Lego Friends</t>
        </is>
      </c>
      <c r="D306" s="2" t="inlineStr">
        <is>
          <t>LEGO 42698 Advent Calendar 2026</t>
        </is>
      </c>
      <c r="E306" s="3" t="n">
        <v>22.94</v>
      </c>
    </row>
    <row r="307">
      <c r="A307" s="2" t="inlineStr">
        <is>
          <t>JB Spielwaren</t>
        </is>
      </c>
      <c r="B307" s="2" t="n">
        <v>42705</v>
      </c>
      <c r="C307" s="2" t="inlineStr">
        <is>
          <t>Lego Friends</t>
        </is>
      </c>
      <c r="D307" s="2" t="inlineStr">
        <is>
          <t>LEGO 42705 Cozy Fall Forest Cabin</t>
        </is>
      </c>
      <c r="E307" s="3" t="n">
        <v>84.98999999999999</v>
      </c>
    </row>
    <row r="308">
      <c r="A308" s="2" t="inlineStr">
        <is>
          <t>JB Spielwaren</t>
        </is>
      </c>
      <c r="B308" s="2" t="n">
        <v>42703</v>
      </c>
      <c r="C308" s="2" t="inlineStr">
        <is>
          <t>Lego Friends</t>
        </is>
      </c>
      <c r="D308" s="2" t="inlineStr">
        <is>
          <t>LEGO 42703 Mermaid Roller Coaster Ride</t>
        </is>
      </c>
      <c r="E308" s="3" t="n">
        <v>84.98999999999999</v>
      </c>
    </row>
    <row r="309">
      <c r="A309" s="2" t="inlineStr">
        <is>
          <t>JB Spielwaren</t>
        </is>
      </c>
      <c r="B309" s="2" t="n">
        <v>42702</v>
      </c>
      <c r="C309" s="2" t="inlineStr">
        <is>
          <t>Lego Friends</t>
        </is>
      </c>
      <c r="D309" s="2" t="inlineStr">
        <is>
          <t>LEGO 42702 Spinning Flower &amp; Fairy Teacup Ride</t>
        </is>
      </c>
      <c r="E309" s="3" t="n">
        <v>33.99</v>
      </c>
    </row>
    <row r="310">
      <c r="A310" s="2" t="inlineStr">
        <is>
          <t>JB Spielwaren</t>
        </is>
      </c>
      <c r="B310" s="2" t="n">
        <v>42704</v>
      </c>
      <c r="C310" s="2" t="inlineStr">
        <is>
          <t>Lego Friends</t>
        </is>
      </c>
      <c r="D310" s="2" t="inlineStr">
        <is>
          <t>LEGO 42704 Heartlake City Grand Hotel</t>
        </is>
      </c>
      <c r="E310" s="3" t="n">
        <v>127.49</v>
      </c>
    </row>
    <row r="311">
      <c r="A311" s="2" t="inlineStr">
        <is>
          <t>JB Spielwaren</t>
        </is>
      </c>
      <c r="B311" s="2" t="n">
        <v>42693</v>
      </c>
      <c r="C311" s="2" t="inlineStr">
        <is>
          <t>Lego Friends</t>
        </is>
      </c>
      <c r="D311" s="2" t="inlineStr">
        <is>
          <t>LEGO 42693 Creative Flower Shop</t>
        </is>
      </c>
      <c r="E311" s="3" t="n">
        <v>25.49</v>
      </c>
    </row>
    <row r="312">
      <c r="A312" s="2" t="inlineStr">
        <is>
          <t>JB Spielwaren</t>
        </is>
      </c>
      <c r="B312" s="2" t="n">
        <v>42700</v>
      </c>
      <c r="C312" s="2" t="inlineStr">
        <is>
          <t>Lego Friends</t>
        </is>
      </c>
      <c r="D312" s="2" t="inlineStr">
        <is>
          <t>LEGO 42700 Candy &amp; Cupcake Ferris Wheel</t>
        </is>
      </c>
      <c r="E312" s="3" t="n">
        <v>50.99</v>
      </c>
    </row>
    <row r="313">
      <c r="A313" s="2" t="inlineStr">
        <is>
          <t>JB Spielwaren</t>
        </is>
      </c>
      <c r="B313" s="2" t="n">
        <v>42697</v>
      </c>
      <c r="C313" s="2" t="inlineStr">
        <is>
          <t>Lego Friends</t>
        </is>
      </c>
      <c r="D313" s="2" t="inlineStr">
        <is>
          <t>LEGO 42697 Creative Dollhouse Suitcase</t>
        </is>
      </c>
      <c r="E313" s="3" t="n">
        <v>42.49</v>
      </c>
    </row>
    <row r="314">
      <c r="A314" s="2" t="inlineStr">
        <is>
          <t>JB Spielwaren</t>
        </is>
      </c>
      <c r="B314" s="2" t="n">
        <v>42694</v>
      </c>
      <c r="C314" s="2" t="inlineStr">
        <is>
          <t>Lego Friends</t>
        </is>
      </c>
      <c r="D314" s="2" t="inlineStr">
        <is>
          <t>LEGO 42694 Pizza Truck</t>
        </is>
      </c>
      <c r="E314" s="3" t="n">
        <v>12.74</v>
      </c>
    </row>
    <row r="315">
      <c r="A315" s="2" t="inlineStr">
        <is>
          <t>JB Spielwaren</t>
        </is>
      </c>
      <c r="B315" s="2" t="n">
        <v>42682</v>
      </c>
      <c r="C315" s="2" t="inlineStr">
        <is>
          <t>Lego Friends</t>
        </is>
      </c>
      <c r="D315" s="2" t="inlineStr">
        <is>
          <t>LEGO 42682 Nature Glamping Cabin</t>
        </is>
      </c>
      <c r="E315" s="3" t="n">
        <v>21.24</v>
      </c>
    </row>
    <row r="316">
      <c r="A316" s="2" t="inlineStr">
        <is>
          <t>JB Spielwaren</t>
        </is>
      </c>
      <c r="B316" s="2" t="n">
        <v>42676</v>
      </c>
      <c r="C316" s="2" t="inlineStr">
        <is>
          <t>Lego Friends</t>
        </is>
      </c>
      <c r="D316" s="2" t="inlineStr">
        <is>
          <t>LEGO 42676 Fun Water Park Day</t>
        </is>
      </c>
      <c r="E316" s="3" t="n">
        <v>25.49</v>
      </c>
    </row>
    <row r="317">
      <c r="A317" s="2" t="inlineStr">
        <is>
          <t>JB Spielwaren</t>
        </is>
      </c>
      <c r="B317" s="2" t="n">
        <v>42690</v>
      </c>
      <c r="C317" s="2" t="inlineStr">
        <is>
          <t>Lego Friends</t>
        </is>
      </c>
      <c r="D317" s="2" t="inlineStr">
        <is>
          <t>LEGO 42690 Forest Tea Party</t>
        </is>
      </c>
      <c r="E317" s="3" t="n">
        <v>8.49</v>
      </c>
    </row>
    <row r="318">
      <c r="A318" s="2" t="inlineStr">
        <is>
          <t>JB Spielwaren</t>
        </is>
      </c>
      <c r="B318" s="2" t="n">
        <v>42699</v>
      </c>
      <c r="C318" s="2" t="inlineStr">
        <is>
          <t>Lego Friends</t>
        </is>
      </c>
      <c r="D318" s="2" t="inlineStr">
        <is>
          <t>LEGO 42699 Beach House with Seals</t>
        </is>
      </c>
      <c r="E318" s="3" t="n">
        <v>42.49</v>
      </c>
    </row>
    <row r="319">
      <c r="A319" s="2" t="inlineStr">
        <is>
          <t>JB Spielwaren</t>
        </is>
      </c>
      <c r="B319" s="2" t="n">
        <v>42695</v>
      </c>
      <c r="C319" s="2" t="inlineStr">
        <is>
          <t>Lego Friends</t>
        </is>
      </c>
      <c r="D319" s="2" t="inlineStr">
        <is>
          <t>LEGO 42695 Horse &amp; Baby Foal Trailer</t>
        </is>
      </c>
      <c r="E319" s="3" t="n">
        <v>25.49</v>
      </c>
    </row>
    <row r="320">
      <c r="A320" s="2" t="inlineStr">
        <is>
          <t>JB Spielwaren</t>
        </is>
      </c>
      <c r="B320" s="2" t="n">
        <v>42692</v>
      </c>
      <c r="C320" s="2" t="inlineStr">
        <is>
          <t>Lego Friends</t>
        </is>
      </c>
      <c r="D320" s="2" t="inlineStr">
        <is>
          <t>LEGO 42692 Ice Cream &amp; Balloon Stand</t>
        </is>
      </c>
      <c r="E320" s="3" t="n">
        <v>8.49</v>
      </c>
    </row>
    <row r="321">
      <c r="A321" s="2" t="inlineStr">
        <is>
          <t>JB Spielwaren</t>
        </is>
      </c>
      <c r="B321" s="2" t="n">
        <v>42689</v>
      </c>
      <c r="C321" s="2" t="inlineStr">
        <is>
          <t>Lego Friends</t>
        </is>
      </c>
      <c r="D321" s="2" t="inlineStr">
        <is>
          <t>LEGO 42689 Heartlake City Friends Club House</t>
        </is>
      </c>
      <c r="E321" s="3" t="n">
        <v>71.98999999999999</v>
      </c>
    </row>
    <row r="322">
      <c r="A322" s="2" t="inlineStr">
        <is>
          <t>JB Spielwaren</t>
        </is>
      </c>
      <c r="B322" s="2" t="n">
        <v>42696</v>
      </c>
      <c r="C322" s="2" t="inlineStr">
        <is>
          <t>Lego Friends</t>
        </is>
      </c>
      <c r="D322" s="2" t="inlineStr">
        <is>
          <t>LEGO 42696 Animal Vet Clinic</t>
        </is>
      </c>
      <c r="E322" s="3" t="n">
        <v>25.49</v>
      </c>
    </row>
    <row r="323">
      <c r="A323" s="2" t="inlineStr">
        <is>
          <t>JB Spielwaren</t>
        </is>
      </c>
      <c r="B323" s="2" t="n">
        <v>42686</v>
      </c>
      <c r="C323" s="2" t="inlineStr">
        <is>
          <t>Lego Friends</t>
        </is>
      </c>
      <c r="D323" s="2" t="inlineStr">
        <is>
          <t>LEGO 42686 Fun Indoor Playground</t>
        </is>
      </c>
      <c r="E323" s="3" t="n">
        <v>47.99</v>
      </c>
    </row>
    <row r="324">
      <c r="A324" s="2" t="inlineStr">
        <is>
          <t>JB Spielwaren</t>
        </is>
      </c>
      <c r="B324" s="2" t="n">
        <v>42685</v>
      </c>
      <c r="C324" s="2" t="inlineStr">
        <is>
          <t>Lego Friends</t>
        </is>
      </c>
      <c r="D324" s="2" t="inlineStr">
        <is>
          <t>LEGO 42685 Heartlake City Fashion Show</t>
        </is>
      </c>
      <c r="E324" s="3" t="n">
        <v>42.49</v>
      </c>
    </row>
    <row r="325">
      <c r="A325" s="2" t="inlineStr">
        <is>
          <t>JB Spielwaren</t>
        </is>
      </c>
      <c r="B325" s="2" t="n">
        <v>42687</v>
      </c>
      <c r="C325" s="2" t="inlineStr">
        <is>
          <t>Lego Friends</t>
        </is>
      </c>
      <c r="D325" s="2" t="inlineStr">
        <is>
          <t>LEGO 42687 Liann's Family House</t>
        </is>
      </c>
      <c r="E325" s="3" t="n">
        <v>55.99</v>
      </c>
    </row>
    <row r="326">
      <c r="A326" s="2" t="inlineStr">
        <is>
          <t>JB Spielwaren</t>
        </is>
      </c>
      <c r="B326" s="2" t="n">
        <v>42688</v>
      </c>
      <c r="C326" s="2" t="inlineStr">
        <is>
          <t>Lego Friends</t>
        </is>
      </c>
      <c r="D326" s="2" t="inlineStr">
        <is>
          <t>LEGO 42688 Horse Stable and Riding Academy</t>
        </is>
      </c>
      <c r="E326" s="3" t="n">
        <v>55.99</v>
      </c>
    </row>
    <row r="327">
      <c r="A327" s="2" t="inlineStr">
        <is>
          <t>JB Spielwaren</t>
        </is>
      </c>
      <c r="B327" s="2" t="n">
        <v>42684</v>
      </c>
      <c r="C327" s="2" t="inlineStr">
        <is>
          <t>Lego Friends</t>
        </is>
      </c>
      <c r="D327" s="2" t="inlineStr">
        <is>
          <t>LEGO 42684 Unicorn Dream Café</t>
        </is>
      </c>
      <c r="E327" s="3" t="n">
        <v>33.99</v>
      </c>
    </row>
    <row r="328">
      <c r="A328" s="2" t="inlineStr">
        <is>
          <t>JB Spielwaren</t>
        </is>
      </c>
      <c r="B328" s="2" t="n">
        <v>42681</v>
      </c>
      <c r="C328" s="2" t="inlineStr">
        <is>
          <t>Lego Friends</t>
        </is>
      </c>
      <c r="D328" s="2" t="inlineStr">
        <is>
          <t>LEGO 42681 Axolotl Adventure Boat</t>
        </is>
      </c>
      <c r="E328" s="3" t="n">
        <v>8.49</v>
      </c>
    </row>
    <row r="329">
      <c r="A329" s="2" t="inlineStr">
        <is>
          <t>JB Spielwaren</t>
        </is>
      </c>
      <c r="B329" s="2" t="n">
        <v>42680</v>
      </c>
      <c r="C329" s="2" t="inlineStr">
        <is>
          <t>Lego Friends</t>
        </is>
      </c>
      <c r="D329" s="2" t="inlineStr">
        <is>
          <t>LEGO 42680 Heartlake City Convenience Store</t>
        </is>
      </c>
      <c r="E329" s="3" t="n">
        <v>16.99</v>
      </c>
    </row>
    <row r="330">
      <c r="A330" s="2" t="inlineStr">
        <is>
          <t>JB Spielwaren</t>
        </is>
      </c>
      <c r="B330" s="2" t="n">
        <v>11386</v>
      </c>
      <c r="C330" s="2" t="inlineStr">
        <is>
          <t>Lego Icons</t>
        </is>
      </c>
      <c r="D330" s="2" t="inlineStr">
        <is>
          <t>LEGO 11386 SpongeBob SquarePants: Bikini Bottom</t>
        </is>
      </c>
      <c r="E330" s="3" t="n">
        <v>178.49</v>
      </c>
    </row>
    <row r="331">
      <c r="A331" s="2" t="inlineStr">
        <is>
          <t>JB Spielwaren</t>
        </is>
      </c>
      <c r="B331" s="2" t="n">
        <v>11381</v>
      </c>
      <c r="C331" s="2" t="inlineStr">
        <is>
          <t>Lego Icons</t>
        </is>
      </c>
      <c r="D331" s="2" t="inlineStr">
        <is>
          <t>LEGO 11381 Jaguar E-Type</t>
        </is>
      </c>
      <c r="E331" s="3" t="n">
        <v>118.99</v>
      </c>
    </row>
    <row r="332">
      <c r="A332" s="2" t="inlineStr">
        <is>
          <t>JB Spielwaren</t>
        </is>
      </c>
      <c r="B332" s="2" t="n">
        <v>11383</v>
      </c>
      <c r="C332" s="2" t="inlineStr">
        <is>
          <t>Lego Icons</t>
        </is>
      </c>
      <c r="D332" s="2" t="inlineStr">
        <is>
          <t>LEGO 11383 Mayor Manor</t>
        </is>
      </c>
      <c r="E332" s="3" t="n">
        <v>93.48999999999999</v>
      </c>
    </row>
    <row r="333">
      <c r="A333" s="2" t="inlineStr">
        <is>
          <t>JB Spielwaren</t>
        </is>
      </c>
      <c r="B333" s="2" t="n">
        <v>11382</v>
      </c>
      <c r="C333" s="2" t="inlineStr">
        <is>
          <t>Lego Icons</t>
        </is>
      </c>
      <c r="D333" s="2" t="inlineStr">
        <is>
          <t>LEGO 11382 Hubble Space Telescope</t>
        </is>
      </c>
      <c r="E333" s="3" t="n">
        <v>110.49</v>
      </c>
    </row>
    <row r="334">
      <c r="A334" s="2" t="inlineStr">
        <is>
          <t>JB Spielwaren</t>
        </is>
      </c>
      <c r="B334" s="2" t="n">
        <v>11380</v>
      </c>
      <c r="C334" s="2" t="inlineStr">
        <is>
          <t>Lego Icons</t>
        </is>
      </c>
      <c r="D334" s="2" t="inlineStr">
        <is>
          <t>LEGO 11380 Road Bike</t>
        </is>
      </c>
      <c r="E334" s="3" t="n">
        <v>94.98999999999999</v>
      </c>
    </row>
    <row r="335">
      <c r="A335" s="2" t="inlineStr">
        <is>
          <t>JB Spielwaren</t>
        </is>
      </c>
      <c r="B335" s="2" t="n">
        <v>11371</v>
      </c>
      <c r="C335" s="2" t="inlineStr">
        <is>
          <t>Lego Icons</t>
        </is>
      </c>
      <c r="D335" s="2" t="inlineStr">
        <is>
          <t>LEGO 11371 Shopping Street</t>
        </is>
      </c>
      <c r="E335" s="3" t="n">
        <v>249.99</v>
      </c>
    </row>
    <row r="336">
      <c r="A336" s="2" t="inlineStr">
        <is>
          <t>JB Spielwaren</t>
        </is>
      </c>
      <c r="B336" s="2" t="n">
        <v>11370</v>
      </c>
      <c r="C336" s="2" t="inlineStr">
        <is>
          <t>Lego Icons</t>
        </is>
      </c>
      <c r="D336" s="2" t="inlineStr">
        <is>
          <t>LEGO 11370 Stranger Things: The Creel House</t>
        </is>
      </c>
      <c r="E336" s="3" t="n">
        <v>279.99</v>
      </c>
    </row>
    <row r="337">
      <c r="A337" s="2" t="inlineStr">
        <is>
          <t>JB Spielwaren</t>
        </is>
      </c>
      <c r="B337" s="2" t="n">
        <v>10352</v>
      </c>
      <c r="C337" s="2" t="inlineStr">
        <is>
          <t>Lego Icons</t>
        </is>
      </c>
      <c r="D337" s="2" t="inlineStr">
        <is>
          <t>LEGO 10352 The Simpsons™: Krusty Burger</t>
        </is>
      </c>
      <c r="E337" s="3" t="n">
        <v>199.99</v>
      </c>
    </row>
    <row r="338">
      <c r="A338" s="2" t="inlineStr">
        <is>
          <t>JB Spielwaren</t>
        </is>
      </c>
      <c r="B338" s="2" t="n">
        <v>11384</v>
      </c>
      <c r="C338" s="2" t="inlineStr">
        <is>
          <t>Lego Icons</t>
        </is>
      </c>
      <c r="D338" s="2" t="inlineStr">
        <is>
          <t>LEGO 11384 Golden Retriever Puppy</t>
        </is>
      </c>
      <c r="E338" s="3" t="n">
        <v>118.99</v>
      </c>
    </row>
    <row r="339">
      <c r="A339" s="2" t="inlineStr">
        <is>
          <t>JB Spielwaren</t>
        </is>
      </c>
      <c r="B339" s="2" t="n">
        <v>11376</v>
      </c>
      <c r="C339" s="2" t="inlineStr">
        <is>
          <t>Lego Icons</t>
        </is>
      </c>
      <c r="D339" s="2" t="inlineStr">
        <is>
          <t>LEGO 11376 Ford Model T</t>
        </is>
      </c>
      <c r="E339" s="3" t="n">
        <v>94.98999999999999</v>
      </c>
    </row>
    <row r="340">
      <c r="A340" s="2" t="inlineStr">
        <is>
          <t>JB Spielwaren</t>
        </is>
      </c>
      <c r="B340" s="2" t="n">
        <v>11373</v>
      </c>
      <c r="C340" s="2" t="inlineStr">
        <is>
          <t>Lego Icons</t>
        </is>
      </c>
      <c r="D340" s="2" t="inlineStr">
        <is>
          <t>LEGO 11373 The Lord of the Rings: Sauron's Helmet</t>
        </is>
      </c>
      <c r="E340" s="3" t="n">
        <v>59.99</v>
      </c>
    </row>
    <row r="341">
      <c r="A341" s="2" t="inlineStr">
        <is>
          <t>JB Spielwaren</t>
        </is>
      </c>
      <c r="B341" s="2" t="n">
        <v>11375</v>
      </c>
      <c r="C341" s="2" t="inlineStr">
        <is>
          <t>Lego Icons</t>
        </is>
      </c>
      <c r="D341" s="2" t="inlineStr">
        <is>
          <t>LEGO 11375 Ferrari F2004 &amp; Michael Schumacher</t>
        </is>
      </c>
      <c r="E341" s="3" t="n">
        <v>76.48999999999999</v>
      </c>
    </row>
    <row r="342">
      <c r="A342" s="2" t="inlineStr">
        <is>
          <t>JB Spielwaren</t>
        </is>
      </c>
      <c r="B342" s="2" t="n">
        <v>11372</v>
      </c>
      <c r="C342" s="2" t="inlineStr">
        <is>
          <t>Lego Icons</t>
        </is>
      </c>
      <c r="D342" s="2" t="inlineStr">
        <is>
          <t>LEGO 11372 ICONS 11372</t>
        </is>
      </c>
      <c r="E342" s="3" t="n">
        <v>87.98999999999999</v>
      </c>
    </row>
    <row r="343">
      <c r="A343" s="2" t="inlineStr">
        <is>
          <t>JB Spielwaren</t>
        </is>
      </c>
      <c r="B343" s="2" t="n">
        <v>10357</v>
      </c>
      <c r="C343" s="2" t="inlineStr">
        <is>
          <t>Lego Icons</t>
        </is>
      </c>
      <c r="D343" s="2" t="inlineStr">
        <is>
          <t>LEGO 10357 Shelby Cobra 427 S/C</t>
        </is>
      </c>
      <c r="E343" s="3" t="n">
        <v>149.99</v>
      </c>
    </row>
    <row r="344">
      <c r="A344" s="2" t="inlineStr">
        <is>
          <t>JB Spielwaren</t>
        </is>
      </c>
      <c r="B344" s="2" t="n">
        <v>10358</v>
      </c>
      <c r="C344" s="2" t="inlineStr">
        <is>
          <t>Lego Icons</t>
        </is>
      </c>
      <c r="D344" s="2" t="inlineStr">
        <is>
          <t>LEGO 10358 Transformers: Soundwave</t>
        </is>
      </c>
      <c r="E344" s="3" t="n">
        <v>134.99</v>
      </c>
    </row>
    <row r="345">
      <c r="A345" s="2" t="inlineStr">
        <is>
          <t>JB Spielwaren</t>
        </is>
      </c>
      <c r="B345" s="2" t="n">
        <v>10367</v>
      </c>
      <c r="C345" s="2" t="inlineStr">
        <is>
          <t>Lego Icons</t>
        </is>
      </c>
      <c r="D345" s="2" t="inlineStr">
        <is>
          <t>LEGO 10367 The Lord of the Rings: Gandalf vs. Balrog</t>
        </is>
      </c>
      <c r="E345" s="3" t="n">
        <v>101.99</v>
      </c>
    </row>
    <row r="346">
      <c r="A346" s="2" t="inlineStr">
        <is>
          <t>JB Spielwaren</t>
        </is>
      </c>
      <c r="B346" s="2" t="n">
        <v>40814</v>
      </c>
      <c r="C346" s="2" t="inlineStr">
        <is>
          <t>Lego Icons</t>
        </is>
      </c>
      <c r="D346" s="2" t="inlineStr">
        <is>
          <t>LEGO 40814 Baby Elephant in the Sky</t>
        </is>
      </c>
      <c r="E346" s="3" t="n">
        <v>29.99</v>
      </c>
    </row>
    <row r="347">
      <c r="A347" s="2" t="inlineStr">
        <is>
          <t>JB Spielwaren</t>
        </is>
      </c>
      <c r="B347" s="2" t="n">
        <v>40690</v>
      </c>
      <c r="C347" s="2" t="inlineStr">
        <is>
          <t>Lego Icons</t>
        </is>
      </c>
      <c r="D347" s="2" t="inlineStr">
        <is>
          <t>LEGO 40690 Homage to the books of Jules Verne</t>
        </is>
      </c>
      <c r="E347" s="3" t="n">
        <v>34.99</v>
      </c>
    </row>
    <row r="348">
      <c r="A348" s="2" t="inlineStr">
        <is>
          <t>JB Spielwaren</t>
        </is>
      </c>
      <c r="B348" s="2" t="n">
        <v>40744</v>
      </c>
      <c r="C348" s="2" t="inlineStr">
        <is>
          <t>Lego Icons</t>
        </is>
      </c>
      <c r="D348" s="2" t="inlineStr">
        <is>
          <t>LEGO 40744 Christmas Ornament Selection</t>
        </is>
      </c>
      <c r="E348" s="3" t="n">
        <v>11.04</v>
      </c>
    </row>
    <row r="349">
      <c r="A349" s="2" t="inlineStr">
        <is>
          <t>JB Spielwaren</t>
        </is>
      </c>
      <c r="B349" s="2" t="n">
        <v>40721</v>
      </c>
      <c r="C349" s="2" t="inlineStr">
        <is>
          <t>Lego Icons</t>
        </is>
      </c>
      <c r="D349" s="2" t="inlineStr">
        <is>
          <t>LEGO 40721 Halloween Barn</t>
        </is>
      </c>
      <c r="E349" s="3" t="n">
        <v>11.99</v>
      </c>
    </row>
    <row r="350">
      <c r="A350" s="2" t="inlineStr">
        <is>
          <t>JB Spielwaren</t>
        </is>
      </c>
      <c r="B350" s="2" t="n">
        <v>40743</v>
      </c>
      <c r="C350" s="2" t="inlineStr">
        <is>
          <t>Lego Icons</t>
        </is>
      </c>
      <c r="D350" s="2" t="inlineStr">
        <is>
          <t>LEGO 40743 Christmas Table Decoration</t>
        </is>
      </c>
      <c r="E350" s="3" t="n">
        <v>33.99</v>
      </c>
    </row>
    <row r="351">
      <c r="A351" s="2" t="inlineStr">
        <is>
          <t>JB Spielwaren</t>
        </is>
      </c>
      <c r="B351" s="2" t="n">
        <v>40813</v>
      </c>
      <c r="C351" s="2" t="inlineStr">
        <is>
          <t>Lego Icons</t>
        </is>
      </c>
      <c r="D351" s="2" t="inlineStr">
        <is>
          <t>LEGO 40813 Lucky Cat</t>
        </is>
      </c>
      <c r="E351" s="3" t="n">
        <v>25.49</v>
      </c>
    </row>
    <row r="352">
      <c r="A352" s="2" t="inlineStr">
        <is>
          <t>JB Spielwaren</t>
        </is>
      </c>
      <c r="B352" s="2" t="n">
        <v>10335</v>
      </c>
      <c r="C352" s="2" t="inlineStr">
        <is>
          <t>Lego Icons</t>
        </is>
      </c>
      <c r="D352" s="2" t="inlineStr">
        <is>
          <t>LEGO 10335 Endurance</t>
        </is>
      </c>
      <c r="E352" s="3" t="n">
        <v>269.99</v>
      </c>
    </row>
    <row r="353">
      <c r="A353" s="2" t="inlineStr">
        <is>
          <t>JB Spielwaren</t>
        </is>
      </c>
      <c r="B353" s="2" t="n">
        <v>40824</v>
      </c>
      <c r="C353" s="2" t="inlineStr">
        <is>
          <t>Lego Icons</t>
        </is>
      </c>
      <c r="D353" s="2" t="inlineStr">
        <is>
          <t>LEGO 40824 Love messenger Tweety</t>
        </is>
      </c>
      <c r="E353" s="3" t="n">
        <v>29.74</v>
      </c>
    </row>
    <row r="354">
      <c r="A354" s="2" t="inlineStr">
        <is>
          <t>JB Spielwaren</t>
        </is>
      </c>
      <c r="B354" s="2" t="n">
        <v>60511</v>
      </c>
      <c r="C354" s="2" t="inlineStr">
        <is>
          <t>Lego City</t>
        </is>
      </c>
      <c r="D354" s="2" t="inlineStr">
        <is>
          <t>LEGO 60511 Vintage Steam Train</t>
        </is>
      </c>
      <c r="E354" s="3" t="n">
        <v>76.48999999999999</v>
      </c>
    </row>
    <row r="355">
      <c r="A355" s="2" t="inlineStr">
        <is>
          <t>JB Spielwaren</t>
        </is>
      </c>
      <c r="B355" s="2" t="n">
        <v>60506</v>
      </c>
      <c r="C355" s="2" t="inlineStr">
        <is>
          <t>Lego City</t>
        </is>
      </c>
      <c r="D355" s="2" t="inlineStr">
        <is>
          <t>LEGO 60506 Classic Beach Streetcar</t>
        </is>
      </c>
      <c r="E355" s="3" t="n">
        <v>59.49</v>
      </c>
    </row>
    <row r="356">
      <c r="A356" s="2" t="inlineStr">
        <is>
          <t>JB Spielwaren</t>
        </is>
      </c>
      <c r="B356" s="2" t="n">
        <v>60494</v>
      </c>
      <c r="C356" s="2" t="inlineStr">
        <is>
          <t>Lego City</t>
        </is>
      </c>
      <c r="D356" s="2" t="inlineStr">
        <is>
          <t>LEGO 60494 Dump Truck &amp; Front End Loader</t>
        </is>
      </c>
      <c r="E356" s="3" t="n">
        <v>101.99</v>
      </c>
    </row>
    <row r="357">
      <c r="A357" s="2" t="inlineStr">
        <is>
          <t>JB Spielwaren</t>
        </is>
      </c>
      <c r="B357" s="2" t="n">
        <v>60480</v>
      </c>
      <c r="C357" s="2" t="inlineStr">
        <is>
          <t>Lego City</t>
        </is>
      </c>
      <c r="D357" s="2" t="inlineStr">
        <is>
          <t>LEGO 60480 Yellow Backhoe Loader</t>
        </is>
      </c>
      <c r="E357" s="3" t="n">
        <v>25.49</v>
      </c>
    </row>
    <row r="358">
      <c r="A358" s="2" t="inlineStr">
        <is>
          <t>JB Spielwaren</t>
        </is>
      </c>
      <c r="B358" s="2" t="n">
        <v>60492</v>
      </c>
      <c r="C358" s="2" t="inlineStr">
        <is>
          <t>Lego City</t>
        </is>
      </c>
      <c r="D358" s="2" t="inlineStr">
        <is>
          <t>LEGO 60492 Passenger Jet</t>
        </is>
      </c>
      <c r="E358" s="3" t="n">
        <v>25.49</v>
      </c>
    </row>
    <row r="359">
      <c r="A359" s="2" t="inlineStr">
        <is>
          <t>JB Spielwaren</t>
        </is>
      </c>
      <c r="B359" s="2" t="n">
        <v>60497</v>
      </c>
      <c r="C359" s="2" t="inlineStr">
        <is>
          <t>Lego City</t>
        </is>
      </c>
      <c r="D359" s="2" t="inlineStr">
        <is>
          <t>LEGO 60497 Drive-Through Car Wash</t>
        </is>
      </c>
      <c r="E359" s="3" t="n">
        <v>46.74</v>
      </c>
    </row>
    <row r="360">
      <c r="A360" s="2" t="inlineStr">
        <is>
          <t>JB Spielwaren</t>
        </is>
      </c>
      <c r="B360" s="2" t="n">
        <v>60496</v>
      </c>
      <c r="C360" s="2" t="inlineStr">
        <is>
          <t>Lego City</t>
        </is>
      </c>
      <c r="D360" s="2" t="inlineStr">
        <is>
          <t>LEGO 60496 Pizza Delivery Experience with Vehicles</t>
        </is>
      </c>
      <c r="E360" s="3" t="n">
        <v>42.49</v>
      </c>
    </row>
    <row r="361">
      <c r="A361" s="2" t="inlineStr">
        <is>
          <t>JB Spielwaren</t>
        </is>
      </c>
      <c r="B361" s="2" t="n">
        <v>60510</v>
      </c>
      <c r="C361" s="2" t="inlineStr">
        <is>
          <t>Lego City</t>
        </is>
      </c>
      <c r="D361" s="2" t="inlineStr">
        <is>
          <t>LEGO 60510 Advent Calendar 2026</t>
        </is>
      </c>
      <c r="E361" s="3" t="n">
        <v>22.94</v>
      </c>
    </row>
    <row r="362">
      <c r="A362" s="2" t="inlineStr">
        <is>
          <t>JB Spielwaren</t>
        </is>
      </c>
      <c r="B362" s="2" t="n">
        <v>60508</v>
      </c>
      <c r="C362" s="2" t="inlineStr">
        <is>
          <t>Lego City</t>
        </is>
      </c>
      <c r="D362" s="2" t="inlineStr">
        <is>
          <t>LEGO 60508 Police Train Heist</t>
        </is>
      </c>
      <c r="E362" s="3" t="n">
        <v>169.99</v>
      </c>
    </row>
    <row r="363">
      <c r="A363" s="2" t="inlineStr">
        <is>
          <t>JB Spielwaren</t>
        </is>
      </c>
      <c r="B363" s="2" t="n">
        <v>60493</v>
      </c>
      <c r="C363" s="2" t="inlineStr">
        <is>
          <t>Lego City</t>
        </is>
      </c>
      <c r="D363" s="2" t="inlineStr">
        <is>
          <t>LEGO 60493 F1® Truck with Audi F1® race car</t>
        </is>
      </c>
      <c r="E363" s="3" t="n">
        <v>38.24</v>
      </c>
    </row>
    <row r="364">
      <c r="A364" s="2" t="inlineStr">
        <is>
          <t>JB Spielwaren</t>
        </is>
      </c>
      <c r="B364" s="2" t="n">
        <v>60484</v>
      </c>
      <c r="C364" s="2" t="inlineStr">
        <is>
          <t>Lego City</t>
        </is>
      </c>
      <c r="D364" s="2" t="inlineStr">
        <is>
          <t>LEGO 60484 Rides – Gaming Race Car</t>
        </is>
      </c>
      <c r="E364" s="3" t="n">
        <v>8.49</v>
      </c>
    </row>
    <row r="365">
      <c r="A365" s="2" t="inlineStr">
        <is>
          <t>JB Spielwaren</t>
        </is>
      </c>
      <c r="B365" s="2" t="n">
        <v>60483</v>
      </c>
      <c r="C365" s="2" t="inlineStr">
        <is>
          <t>Lego City</t>
        </is>
      </c>
      <c r="D365" s="2" t="inlineStr">
        <is>
          <t>LEGO 60483 Rides – Construction Loader</t>
        </is>
      </c>
      <c r="E365" s="3" t="n">
        <v>8.49</v>
      </c>
    </row>
    <row r="366">
      <c r="A366" s="2" t="inlineStr">
        <is>
          <t>JB Spielwaren</t>
        </is>
      </c>
      <c r="B366" s="2" t="n">
        <v>60482</v>
      </c>
      <c r="C366" s="2" t="inlineStr">
        <is>
          <t>Lego City</t>
        </is>
      </c>
      <c r="D366" s="2" t="inlineStr">
        <is>
          <t>LEGO 60482 Rides – Fire Truck</t>
        </is>
      </c>
      <c r="E366" s="3" t="n">
        <v>8.49</v>
      </c>
    </row>
    <row r="367">
      <c r="A367" s="2" t="inlineStr">
        <is>
          <t>JB Spielwaren</t>
        </is>
      </c>
      <c r="B367" s="2" t="n">
        <v>60504</v>
      </c>
      <c r="C367" s="2" t="inlineStr">
        <is>
          <t>Lego City</t>
        </is>
      </c>
      <c r="D367" s="2" t="inlineStr">
        <is>
          <t>LEGO 60504 Coast Guard Rescue Boat &amp; Helicopter</t>
        </is>
      </c>
      <c r="E367" s="3" t="n">
        <v>87.98999999999999</v>
      </c>
    </row>
    <row r="368">
      <c r="A368" s="2" t="inlineStr">
        <is>
          <t>JB Spielwaren</t>
        </is>
      </c>
      <c r="B368" s="2" t="n">
        <v>60481</v>
      </c>
      <c r="C368" s="2" t="inlineStr">
        <is>
          <t>Lego City</t>
        </is>
      </c>
      <c r="D368" s="2" t="inlineStr">
        <is>
          <t>LEGO 60481 Rides – Police Truck</t>
        </is>
      </c>
      <c r="E368" s="3" t="n">
        <v>8.49</v>
      </c>
    </row>
    <row r="369">
      <c r="A369" s="2" t="inlineStr">
        <is>
          <t>JB Spielwaren</t>
        </is>
      </c>
      <c r="B369" s="2" t="n">
        <v>60505</v>
      </c>
      <c r="C369" s="2" t="inlineStr">
        <is>
          <t>Lego City</t>
        </is>
      </c>
      <c r="D369" s="2" t="inlineStr">
        <is>
          <t>LEGO 60505 Airplane, Service Truck &amp; Hovercraft Remix</t>
        </is>
      </c>
      <c r="E369" s="3" t="n">
        <v>55.99</v>
      </c>
    </row>
    <row r="370">
      <c r="A370" s="2" t="inlineStr">
        <is>
          <t>JB Spielwaren</t>
        </is>
      </c>
      <c r="B370" s="2" t="n">
        <v>60479</v>
      </c>
      <c r="C370" s="2" t="inlineStr">
        <is>
          <t>Lego City</t>
        </is>
      </c>
      <c r="D370" s="2" t="inlineStr">
        <is>
          <t>LEGO 60479 Police Prisoner Transport Van</t>
        </is>
      </c>
      <c r="E370" s="3" t="n">
        <v>16.99</v>
      </c>
    </row>
    <row r="371">
      <c r="A371" s="2" t="inlineStr">
        <is>
          <t>JB Spielwaren</t>
        </is>
      </c>
      <c r="B371" s="2" t="n">
        <v>60503</v>
      </c>
      <c r="C371" s="2" t="inlineStr">
        <is>
          <t>Lego City</t>
        </is>
      </c>
      <c r="D371" s="2" t="inlineStr">
        <is>
          <t>LEGO 60503 Coast Guard Helicopter</t>
        </is>
      </c>
      <c r="E371" s="3" t="n">
        <v>41.99</v>
      </c>
    </row>
    <row r="372">
      <c r="A372" s="2" t="inlineStr">
        <is>
          <t>JB Spielwaren</t>
        </is>
      </c>
      <c r="B372" s="2" t="n">
        <v>60498</v>
      </c>
      <c r="C372" s="2" t="inlineStr">
        <is>
          <t>Lego City</t>
        </is>
      </c>
      <c r="D372" s="2" t="inlineStr">
        <is>
          <t>LEGO 60498 Tractor</t>
        </is>
      </c>
      <c r="E372" s="3" t="n">
        <v>16.99</v>
      </c>
    </row>
    <row r="373">
      <c r="A373" s="2" t="inlineStr">
        <is>
          <t>JB Spielwaren</t>
        </is>
      </c>
      <c r="B373" s="2" t="n">
        <v>60491</v>
      </c>
      <c r="C373" s="2" t="inlineStr">
        <is>
          <t>Lego City</t>
        </is>
      </c>
      <c r="D373" s="2" t="inlineStr">
        <is>
          <t>LEGO 60491 Motorcycle Transporter</t>
        </is>
      </c>
      <c r="E373" s="3" t="n">
        <v>16.99</v>
      </c>
    </row>
    <row r="374">
      <c r="A374" s="2" t="inlineStr">
        <is>
          <t>JB Spielwaren</t>
        </is>
      </c>
      <c r="B374" s="2" t="n">
        <v>60490</v>
      </c>
      <c r="C374" s="2" t="inlineStr">
        <is>
          <t>Lego City</t>
        </is>
      </c>
      <c r="D374" s="2" t="inlineStr">
        <is>
          <t>LEGO 60490 Snowplow</t>
        </is>
      </c>
      <c r="E374" s="3" t="n">
        <v>21.24</v>
      </c>
    </row>
    <row r="375">
      <c r="A375" s="2" t="inlineStr">
        <is>
          <t>JB Spielwaren</t>
        </is>
      </c>
      <c r="B375" s="2" t="n">
        <v>60500</v>
      </c>
      <c r="C375" s="2" t="inlineStr">
        <is>
          <t>Lego City</t>
        </is>
      </c>
      <c r="D375" s="2" t="inlineStr">
        <is>
          <t>LEGO 60500 The LEGO® Van</t>
        </is>
      </c>
      <c r="E375" s="3" t="n">
        <v>25.49</v>
      </c>
    </row>
    <row r="376">
      <c r="A376" s="2" t="inlineStr">
        <is>
          <t>JB Spielwaren</t>
        </is>
      </c>
      <c r="B376" s="2" t="n">
        <v>60487</v>
      </c>
      <c r="C376" s="2" t="inlineStr">
        <is>
          <t>Lego City</t>
        </is>
      </c>
      <c r="D376" s="2" t="inlineStr">
        <is>
          <t>LEGO 60487 Yellow Taxi</t>
        </is>
      </c>
      <c r="E376" s="3" t="n">
        <v>12.74</v>
      </c>
    </row>
    <row r="377">
      <c r="A377" s="2" t="inlineStr">
        <is>
          <t>JB Spielwaren</t>
        </is>
      </c>
      <c r="B377" s="2" t="n">
        <v>60486</v>
      </c>
      <c r="C377" s="2" t="inlineStr">
        <is>
          <t>Lego City</t>
        </is>
      </c>
      <c r="D377" s="2" t="inlineStr">
        <is>
          <t>LEGO 60486 EV Supercar</t>
        </is>
      </c>
      <c r="E377" s="3" t="n">
        <v>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6" customWidth="1" min="3" max="3"/>
    <col width="16" customWidth="1" min="4" max="4"/>
    <col width="18" customWidth="1" min="5" max="5"/>
    <col width="16" customWidth="1" min="6" max="6"/>
    <col width="18" customWidth="1" min="7" max="7"/>
    <col width="18" customWidth="1" min="8" max="8"/>
    <col width="16" customWidth="1" min="9" max="9"/>
  </cols>
  <sheetData>
    <row r="1">
      <c r="A1" s="4" t="inlineStr">
        <is>
          <t>ProductID</t>
        </is>
      </c>
      <c r="B1" s="4" t="inlineStr">
        <is>
          <t>Product Name</t>
        </is>
      </c>
      <c r="C1" s="4" t="inlineStr">
        <is>
          <t>Category</t>
        </is>
      </c>
      <c r="D1" s="4" t="inlineStr">
        <is>
          <t>Lowest Price (€)</t>
        </is>
      </c>
      <c r="E1" s="4" t="inlineStr">
        <is>
          <t>Lowest Price Shop</t>
        </is>
      </c>
      <c r="F1" s="4" t="inlineStr">
        <is>
          <t>Highest Price (€)</t>
        </is>
      </c>
      <c r="G1" s="4" t="inlineStr">
        <is>
          <t>Highest Price Shop</t>
        </is>
      </c>
      <c r="H1" s="4" t="inlineStr">
        <is>
          <t>Price Difference (€)</t>
        </is>
      </c>
      <c r="I1" s="4" t="inlineStr">
        <is>
          <t># Shops Offering</t>
        </is>
      </c>
    </row>
    <row r="2">
      <c r="A2" s="5" t="n">
        <v>10305</v>
      </c>
      <c r="B2" s="6">
        <f>INDEX('Raw Data'!$D$2:$D$377,MATCH(A2,'Raw Data'!$B$2:$B$377,0))</f>
        <v/>
      </c>
      <c r="C2" s="5">
        <f>INDEX('Raw Data'!$C$2:$C$377,MATCH(A2,'Raw Data'!$B$2:$B$377,0))</f>
        <v/>
      </c>
      <c r="D2" s="7">
        <f>_xlfn.MINIFS('Raw Data'!$E$2:$E$377,'Raw Data'!$B$2:$B$377,A2)</f>
        <v/>
      </c>
      <c r="E2" s="5">
        <f>INDEX('Raw Data'!$A$2:$A$377,MATCH(1,INDEX(('Raw Data'!$B$2:$B$377=A2)*('Raw Data'!$E$2:$E$377=D2),0),0))</f>
        <v/>
      </c>
      <c r="F2" s="7">
        <f>_xlfn.MAXIFS('Raw Data'!$E$2:$E$377,'Raw Data'!$B$2:$B$377,A2)</f>
        <v/>
      </c>
      <c r="G2" s="5">
        <f>INDEX('Raw Data'!$A$2:$A$377,MATCH(1,INDEX(('Raw Data'!$B$2:$B$377=A2)*('Raw Data'!$E$2:$E$377=F2),0),0))</f>
        <v/>
      </c>
      <c r="H2" s="7">
        <f>F2-D2</f>
        <v/>
      </c>
      <c r="I2" s="5">
        <f>COUNTIF('Raw Data'!$B$2:$B$377,A2)</f>
        <v/>
      </c>
    </row>
    <row r="3">
      <c r="A3" s="5" t="n">
        <v>10307</v>
      </c>
      <c r="B3" s="6">
        <f>INDEX('Raw Data'!$D$2:$D$377,MATCH(A3,'Raw Data'!$B$2:$B$377,0))</f>
        <v/>
      </c>
      <c r="C3" s="5">
        <f>INDEX('Raw Data'!$C$2:$C$377,MATCH(A3,'Raw Data'!$B$2:$B$377,0))</f>
        <v/>
      </c>
      <c r="D3" s="7">
        <f>_xlfn.MINIFS('Raw Data'!$E$2:$E$377,'Raw Data'!$B$2:$B$377,A3)</f>
        <v/>
      </c>
      <c r="E3" s="5">
        <f>INDEX('Raw Data'!$A$2:$A$377,MATCH(1,INDEX(('Raw Data'!$B$2:$B$377=A3)*('Raw Data'!$E$2:$E$377=D3),0),0))</f>
        <v/>
      </c>
      <c r="F3" s="7">
        <f>_xlfn.MAXIFS('Raw Data'!$E$2:$E$377,'Raw Data'!$B$2:$B$377,A3)</f>
        <v/>
      </c>
      <c r="G3" s="5">
        <f>INDEX('Raw Data'!$A$2:$A$377,MATCH(1,INDEX(('Raw Data'!$B$2:$B$377=A3)*('Raw Data'!$E$2:$E$377=F3),0),0))</f>
        <v/>
      </c>
      <c r="H3" s="7">
        <f>F3-D3</f>
        <v/>
      </c>
      <c r="I3" s="5">
        <f>COUNTIF('Raw Data'!$B$2:$B$377,A3)</f>
        <v/>
      </c>
    </row>
    <row r="4">
      <c r="A4" s="5" t="n">
        <v>10315</v>
      </c>
      <c r="B4" s="6">
        <f>INDEX('Raw Data'!$D$2:$D$377,MATCH(A4,'Raw Data'!$B$2:$B$377,0))</f>
        <v/>
      </c>
      <c r="C4" s="5">
        <f>INDEX('Raw Data'!$C$2:$C$377,MATCH(A4,'Raw Data'!$B$2:$B$377,0))</f>
        <v/>
      </c>
      <c r="D4" s="7">
        <f>_xlfn.MINIFS('Raw Data'!$E$2:$E$377,'Raw Data'!$B$2:$B$377,A4)</f>
        <v/>
      </c>
      <c r="E4" s="5">
        <f>INDEX('Raw Data'!$A$2:$A$377,MATCH(1,INDEX(('Raw Data'!$B$2:$B$377=A4)*('Raw Data'!$E$2:$E$377=D4),0),0))</f>
        <v/>
      </c>
      <c r="F4" s="7">
        <f>_xlfn.MAXIFS('Raw Data'!$E$2:$E$377,'Raw Data'!$B$2:$B$377,A4)</f>
        <v/>
      </c>
      <c r="G4" s="5">
        <f>INDEX('Raw Data'!$A$2:$A$377,MATCH(1,INDEX(('Raw Data'!$B$2:$B$377=A4)*('Raw Data'!$E$2:$E$377=F4),0),0))</f>
        <v/>
      </c>
      <c r="H4" s="7">
        <f>F4-D4</f>
        <v/>
      </c>
      <c r="I4" s="5">
        <f>COUNTIF('Raw Data'!$B$2:$B$377,A4)</f>
        <v/>
      </c>
    </row>
    <row r="5">
      <c r="A5" s="5" t="n">
        <v>10328</v>
      </c>
      <c r="B5" s="6">
        <f>INDEX('Raw Data'!$D$2:$D$377,MATCH(A5,'Raw Data'!$B$2:$B$377,0))</f>
        <v/>
      </c>
      <c r="C5" s="5">
        <f>INDEX('Raw Data'!$C$2:$C$377,MATCH(A5,'Raw Data'!$B$2:$B$377,0))</f>
        <v/>
      </c>
      <c r="D5" s="7">
        <f>_xlfn.MINIFS('Raw Data'!$E$2:$E$377,'Raw Data'!$B$2:$B$377,A5)</f>
        <v/>
      </c>
      <c r="E5" s="5">
        <f>INDEX('Raw Data'!$A$2:$A$377,MATCH(1,INDEX(('Raw Data'!$B$2:$B$377=A5)*('Raw Data'!$E$2:$E$377=D5),0),0))</f>
        <v/>
      </c>
      <c r="F5" s="7">
        <f>_xlfn.MAXIFS('Raw Data'!$E$2:$E$377,'Raw Data'!$B$2:$B$377,A5)</f>
        <v/>
      </c>
      <c r="G5" s="5">
        <f>INDEX('Raw Data'!$A$2:$A$377,MATCH(1,INDEX(('Raw Data'!$B$2:$B$377=A5)*('Raw Data'!$E$2:$E$377=F5),0),0))</f>
        <v/>
      </c>
      <c r="H5" s="7">
        <f>F5-D5</f>
        <v/>
      </c>
      <c r="I5" s="5">
        <f>COUNTIF('Raw Data'!$B$2:$B$377,A5)</f>
        <v/>
      </c>
    </row>
    <row r="6">
      <c r="A6" s="5" t="n">
        <v>10331</v>
      </c>
      <c r="B6" s="6">
        <f>INDEX('Raw Data'!$D$2:$D$377,MATCH(A6,'Raw Data'!$B$2:$B$377,0))</f>
        <v/>
      </c>
      <c r="C6" s="5">
        <f>INDEX('Raw Data'!$C$2:$C$377,MATCH(A6,'Raw Data'!$B$2:$B$377,0))</f>
        <v/>
      </c>
      <c r="D6" s="7">
        <f>_xlfn.MINIFS('Raw Data'!$E$2:$E$377,'Raw Data'!$B$2:$B$377,A6)</f>
        <v/>
      </c>
      <c r="E6" s="5">
        <f>INDEX('Raw Data'!$A$2:$A$377,MATCH(1,INDEX(('Raw Data'!$B$2:$B$377=A6)*('Raw Data'!$E$2:$E$377=D6),0),0))</f>
        <v/>
      </c>
      <c r="F6" s="7">
        <f>_xlfn.MAXIFS('Raw Data'!$E$2:$E$377,'Raw Data'!$B$2:$B$377,A6)</f>
        <v/>
      </c>
      <c r="G6" s="5">
        <f>INDEX('Raw Data'!$A$2:$A$377,MATCH(1,INDEX(('Raw Data'!$B$2:$B$377=A6)*('Raw Data'!$E$2:$E$377=F6),0),0))</f>
        <v/>
      </c>
      <c r="H6" s="7">
        <f>F6-D6</f>
        <v/>
      </c>
      <c r="I6" s="5">
        <f>COUNTIF('Raw Data'!$B$2:$B$377,A6)</f>
        <v/>
      </c>
    </row>
    <row r="7">
      <c r="A7" s="5" t="n">
        <v>10333</v>
      </c>
      <c r="B7" s="6">
        <f>INDEX('Raw Data'!$D$2:$D$377,MATCH(A7,'Raw Data'!$B$2:$B$377,0))</f>
        <v/>
      </c>
      <c r="C7" s="5">
        <f>INDEX('Raw Data'!$C$2:$C$377,MATCH(A7,'Raw Data'!$B$2:$B$377,0))</f>
        <v/>
      </c>
      <c r="D7" s="7">
        <f>_xlfn.MINIFS('Raw Data'!$E$2:$E$377,'Raw Data'!$B$2:$B$377,A7)</f>
        <v/>
      </c>
      <c r="E7" s="5">
        <f>INDEX('Raw Data'!$A$2:$A$377,MATCH(1,INDEX(('Raw Data'!$B$2:$B$377=A7)*('Raw Data'!$E$2:$E$377=D7),0),0))</f>
        <v/>
      </c>
      <c r="F7" s="7">
        <f>_xlfn.MAXIFS('Raw Data'!$E$2:$E$377,'Raw Data'!$B$2:$B$377,A7)</f>
        <v/>
      </c>
      <c r="G7" s="5">
        <f>INDEX('Raw Data'!$A$2:$A$377,MATCH(1,INDEX(('Raw Data'!$B$2:$B$377=A7)*('Raw Data'!$E$2:$E$377=F7),0),0))</f>
        <v/>
      </c>
      <c r="H7" s="7">
        <f>F7-D7</f>
        <v/>
      </c>
      <c r="I7" s="5">
        <f>COUNTIF('Raw Data'!$B$2:$B$377,A7)</f>
        <v/>
      </c>
    </row>
    <row r="8">
      <c r="A8" s="5" t="n">
        <v>10335</v>
      </c>
      <c r="B8" s="6">
        <f>INDEX('Raw Data'!$D$2:$D$377,MATCH(A8,'Raw Data'!$B$2:$B$377,0))</f>
        <v/>
      </c>
      <c r="C8" s="5">
        <f>INDEX('Raw Data'!$C$2:$C$377,MATCH(A8,'Raw Data'!$B$2:$B$377,0))</f>
        <v/>
      </c>
      <c r="D8" s="7">
        <f>_xlfn.MINIFS('Raw Data'!$E$2:$E$377,'Raw Data'!$B$2:$B$377,A8)</f>
        <v/>
      </c>
      <c r="E8" s="5">
        <f>INDEX('Raw Data'!$A$2:$A$377,MATCH(1,INDEX(('Raw Data'!$B$2:$B$377=A8)*('Raw Data'!$E$2:$E$377=D8),0),0))</f>
        <v/>
      </c>
      <c r="F8" s="7">
        <f>_xlfn.MAXIFS('Raw Data'!$E$2:$E$377,'Raw Data'!$B$2:$B$377,A8)</f>
        <v/>
      </c>
      <c r="G8" s="5">
        <f>INDEX('Raw Data'!$A$2:$A$377,MATCH(1,INDEX(('Raw Data'!$B$2:$B$377=A8)*('Raw Data'!$E$2:$E$377=F8),0),0))</f>
        <v/>
      </c>
      <c r="H8" s="7">
        <f>F8-D8</f>
        <v/>
      </c>
      <c r="I8" s="5">
        <f>COUNTIF('Raw Data'!$B$2:$B$377,A8)</f>
        <v/>
      </c>
    </row>
    <row r="9">
      <c r="A9" s="5" t="n">
        <v>10337</v>
      </c>
      <c r="B9" s="6">
        <f>INDEX('Raw Data'!$D$2:$D$377,MATCH(A9,'Raw Data'!$B$2:$B$377,0))</f>
        <v/>
      </c>
      <c r="C9" s="5">
        <f>INDEX('Raw Data'!$C$2:$C$377,MATCH(A9,'Raw Data'!$B$2:$B$377,0))</f>
        <v/>
      </c>
      <c r="D9" s="7">
        <f>_xlfn.MINIFS('Raw Data'!$E$2:$E$377,'Raw Data'!$B$2:$B$377,A9)</f>
        <v/>
      </c>
      <c r="E9" s="5">
        <f>INDEX('Raw Data'!$A$2:$A$377,MATCH(1,INDEX(('Raw Data'!$B$2:$B$377=A9)*('Raw Data'!$E$2:$E$377=D9),0),0))</f>
        <v/>
      </c>
      <c r="F9" s="7">
        <f>_xlfn.MAXIFS('Raw Data'!$E$2:$E$377,'Raw Data'!$B$2:$B$377,A9)</f>
        <v/>
      </c>
      <c r="G9" s="5">
        <f>INDEX('Raw Data'!$A$2:$A$377,MATCH(1,INDEX(('Raw Data'!$B$2:$B$377=A9)*('Raw Data'!$E$2:$E$377=F9),0),0))</f>
        <v/>
      </c>
      <c r="H9" s="7">
        <f>F9-D9</f>
        <v/>
      </c>
      <c r="I9" s="5">
        <f>COUNTIF('Raw Data'!$B$2:$B$377,A9)</f>
        <v/>
      </c>
    </row>
    <row r="10">
      <c r="A10" s="5" t="n">
        <v>10352</v>
      </c>
      <c r="B10" s="6">
        <f>INDEX('Raw Data'!$D$2:$D$377,MATCH(A10,'Raw Data'!$B$2:$B$377,0))</f>
        <v/>
      </c>
      <c r="C10" s="5">
        <f>INDEX('Raw Data'!$C$2:$C$377,MATCH(A10,'Raw Data'!$B$2:$B$377,0))</f>
        <v/>
      </c>
      <c r="D10" s="7">
        <f>_xlfn.MINIFS('Raw Data'!$E$2:$E$377,'Raw Data'!$B$2:$B$377,A10)</f>
        <v/>
      </c>
      <c r="E10" s="5">
        <f>INDEX('Raw Data'!$A$2:$A$377,MATCH(1,INDEX(('Raw Data'!$B$2:$B$377=A10)*('Raw Data'!$E$2:$E$377=D10),0),0))</f>
        <v/>
      </c>
      <c r="F10" s="7">
        <f>_xlfn.MAXIFS('Raw Data'!$E$2:$E$377,'Raw Data'!$B$2:$B$377,A10)</f>
        <v/>
      </c>
      <c r="G10" s="5">
        <f>INDEX('Raw Data'!$A$2:$A$377,MATCH(1,INDEX(('Raw Data'!$B$2:$B$377=A10)*('Raw Data'!$E$2:$E$377=F10),0),0))</f>
        <v/>
      </c>
      <c r="H10" s="7">
        <f>F10-D10</f>
        <v/>
      </c>
      <c r="I10" s="5">
        <f>COUNTIF('Raw Data'!$B$2:$B$377,A10)</f>
        <v/>
      </c>
    </row>
    <row r="11">
      <c r="A11" s="5" t="n">
        <v>10356</v>
      </c>
      <c r="B11" s="6">
        <f>INDEX('Raw Data'!$D$2:$D$377,MATCH(A11,'Raw Data'!$B$2:$B$377,0))</f>
        <v/>
      </c>
      <c r="C11" s="5">
        <f>INDEX('Raw Data'!$C$2:$C$377,MATCH(A11,'Raw Data'!$B$2:$B$377,0))</f>
        <v/>
      </c>
      <c r="D11" s="7">
        <f>_xlfn.MINIFS('Raw Data'!$E$2:$E$377,'Raw Data'!$B$2:$B$377,A11)</f>
        <v/>
      </c>
      <c r="E11" s="5">
        <f>INDEX('Raw Data'!$A$2:$A$377,MATCH(1,INDEX(('Raw Data'!$B$2:$B$377=A11)*('Raw Data'!$E$2:$E$377=D11),0),0))</f>
        <v/>
      </c>
      <c r="F11" s="7">
        <f>_xlfn.MAXIFS('Raw Data'!$E$2:$E$377,'Raw Data'!$B$2:$B$377,A11)</f>
        <v/>
      </c>
      <c r="G11" s="5">
        <f>INDEX('Raw Data'!$A$2:$A$377,MATCH(1,INDEX(('Raw Data'!$B$2:$B$377=A11)*('Raw Data'!$E$2:$E$377=F11),0),0))</f>
        <v/>
      </c>
      <c r="H11" s="7">
        <f>F11-D11</f>
        <v/>
      </c>
      <c r="I11" s="5">
        <f>COUNTIF('Raw Data'!$B$2:$B$377,A11)</f>
        <v/>
      </c>
    </row>
    <row r="12">
      <c r="A12" s="5" t="n">
        <v>10357</v>
      </c>
      <c r="B12" s="6">
        <f>INDEX('Raw Data'!$D$2:$D$377,MATCH(A12,'Raw Data'!$B$2:$B$377,0))</f>
        <v/>
      </c>
      <c r="C12" s="5">
        <f>INDEX('Raw Data'!$C$2:$C$377,MATCH(A12,'Raw Data'!$B$2:$B$377,0))</f>
        <v/>
      </c>
      <c r="D12" s="7">
        <f>_xlfn.MINIFS('Raw Data'!$E$2:$E$377,'Raw Data'!$B$2:$B$377,A12)</f>
        <v/>
      </c>
      <c r="E12" s="5">
        <f>INDEX('Raw Data'!$A$2:$A$377,MATCH(1,INDEX(('Raw Data'!$B$2:$B$377=A12)*('Raw Data'!$E$2:$E$377=D12),0),0))</f>
        <v/>
      </c>
      <c r="F12" s="7">
        <f>_xlfn.MAXIFS('Raw Data'!$E$2:$E$377,'Raw Data'!$B$2:$B$377,A12)</f>
        <v/>
      </c>
      <c r="G12" s="5">
        <f>INDEX('Raw Data'!$A$2:$A$377,MATCH(1,INDEX(('Raw Data'!$B$2:$B$377=A12)*('Raw Data'!$E$2:$E$377=F12),0),0))</f>
        <v/>
      </c>
      <c r="H12" s="7">
        <f>F12-D12</f>
        <v/>
      </c>
      <c r="I12" s="5">
        <f>COUNTIF('Raw Data'!$B$2:$B$377,A12)</f>
        <v/>
      </c>
    </row>
    <row r="13">
      <c r="A13" s="5" t="n">
        <v>10358</v>
      </c>
      <c r="B13" s="6">
        <f>INDEX('Raw Data'!$D$2:$D$377,MATCH(A13,'Raw Data'!$B$2:$B$377,0))</f>
        <v/>
      </c>
      <c r="C13" s="5">
        <f>INDEX('Raw Data'!$C$2:$C$377,MATCH(A13,'Raw Data'!$B$2:$B$377,0))</f>
        <v/>
      </c>
      <c r="D13" s="7">
        <f>_xlfn.MINIFS('Raw Data'!$E$2:$E$377,'Raw Data'!$B$2:$B$377,A13)</f>
        <v/>
      </c>
      <c r="E13" s="5">
        <f>INDEX('Raw Data'!$A$2:$A$377,MATCH(1,INDEX(('Raw Data'!$B$2:$B$377=A13)*('Raw Data'!$E$2:$E$377=D13),0),0))</f>
        <v/>
      </c>
      <c r="F13" s="7">
        <f>_xlfn.MAXIFS('Raw Data'!$E$2:$E$377,'Raw Data'!$B$2:$B$377,A13)</f>
        <v/>
      </c>
      <c r="G13" s="5">
        <f>INDEX('Raw Data'!$A$2:$A$377,MATCH(1,INDEX(('Raw Data'!$B$2:$B$377=A13)*('Raw Data'!$E$2:$E$377=F13),0),0))</f>
        <v/>
      </c>
      <c r="H13" s="7">
        <f>F13-D13</f>
        <v/>
      </c>
      <c r="I13" s="5">
        <f>COUNTIF('Raw Data'!$B$2:$B$377,A13)</f>
        <v/>
      </c>
    </row>
    <row r="14">
      <c r="A14" s="5" t="n">
        <v>10360</v>
      </c>
      <c r="B14" s="6">
        <f>INDEX('Raw Data'!$D$2:$D$377,MATCH(A14,'Raw Data'!$B$2:$B$377,0))</f>
        <v/>
      </c>
      <c r="C14" s="5">
        <f>INDEX('Raw Data'!$C$2:$C$377,MATCH(A14,'Raw Data'!$B$2:$B$377,0))</f>
        <v/>
      </c>
      <c r="D14" s="7">
        <f>_xlfn.MINIFS('Raw Data'!$E$2:$E$377,'Raw Data'!$B$2:$B$377,A14)</f>
        <v/>
      </c>
      <c r="E14" s="5">
        <f>INDEX('Raw Data'!$A$2:$A$377,MATCH(1,INDEX(('Raw Data'!$B$2:$B$377=A14)*('Raw Data'!$E$2:$E$377=D14),0),0))</f>
        <v/>
      </c>
      <c r="F14" s="7">
        <f>_xlfn.MAXIFS('Raw Data'!$E$2:$E$377,'Raw Data'!$B$2:$B$377,A14)</f>
        <v/>
      </c>
      <c r="G14" s="5">
        <f>INDEX('Raw Data'!$A$2:$A$377,MATCH(1,INDEX(('Raw Data'!$B$2:$B$377=A14)*('Raw Data'!$E$2:$E$377=F14),0),0))</f>
        <v/>
      </c>
      <c r="H14" s="7">
        <f>F14-D14</f>
        <v/>
      </c>
      <c r="I14" s="5">
        <f>COUNTIF('Raw Data'!$B$2:$B$377,A14)</f>
        <v/>
      </c>
    </row>
    <row r="15">
      <c r="A15" s="5" t="n">
        <v>10362</v>
      </c>
      <c r="B15" s="6">
        <f>INDEX('Raw Data'!$D$2:$D$377,MATCH(A15,'Raw Data'!$B$2:$B$377,0))</f>
        <v/>
      </c>
      <c r="C15" s="5">
        <f>INDEX('Raw Data'!$C$2:$C$377,MATCH(A15,'Raw Data'!$B$2:$B$377,0))</f>
        <v/>
      </c>
      <c r="D15" s="7">
        <f>_xlfn.MINIFS('Raw Data'!$E$2:$E$377,'Raw Data'!$B$2:$B$377,A15)</f>
        <v/>
      </c>
      <c r="E15" s="5">
        <f>INDEX('Raw Data'!$A$2:$A$377,MATCH(1,INDEX(('Raw Data'!$B$2:$B$377=A15)*('Raw Data'!$E$2:$E$377=D15),0),0))</f>
        <v/>
      </c>
      <c r="F15" s="7">
        <f>_xlfn.MAXIFS('Raw Data'!$E$2:$E$377,'Raw Data'!$B$2:$B$377,A15)</f>
        <v/>
      </c>
      <c r="G15" s="5">
        <f>INDEX('Raw Data'!$A$2:$A$377,MATCH(1,INDEX(('Raw Data'!$B$2:$B$377=A15)*('Raw Data'!$E$2:$E$377=F15),0),0))</f>
        <v/>
      </c>
      <c r="H15" s="7">
        <f>F15-D15</f>
        <v/>
      </c>
      <c r="I15" s="5">
        <f>COUNTIF('Raw Data'!$B$2:$B$377,A15)</f>
        <v/>
      </c>
    </row>
    <row r="16">
      <c r="A16" s="5" t="n">
        <v>10365</v>
      </c>
      <c r="B16" s="6">
        <f>INDEX('Raw Data'!$D$2:$D$377,MATCH(A16,'Raw Data'!$B$2:$B$377,0))</f>
        <v/>
      </c>
      <c r="C16" s="5">
        <f>INDEX('Raw Data'!$C$2:$C$377,MATCH(A16,'Raw Data'!$B$2:$B$377,0))</f>
        <v/>
      </c>
      <c r="D16" s="7">
        <f>_xlfn.MINIFS('Raw Data'!$E$2:$E$377,'Raw Data'!$B$2:$B$377,A16)</f>
        <v/>
      </c>
      <c r="E16" s="5">
        <f>INDEX('Raw Data'!$A$2:$A$377,MATCH(1,INDEX(('Raw Data'!$B$2:$B$377=A16)*('Raw Data'!$E$2:$E$377=D16),0),0))</f>
        <v/>
      </c>
      <c r="F16" s="7">
        <f>_xlfn.MAXIFS('Raw Data'!$E$2:$E$377,'Raw Data'!$B$2:$B$377,A16)</f>
        <v/>
      </c>
      <c r="G16" s="5">
        <f>INDEX('Raw Data'!$A$2:$A$377,MATCH(1,INDEX(('Raw Data'!$B$2:$B$377=A16)*('Raw Data'!$E$2:$E$377=F16),0),0))</f>
        <v/>
      </c>
      <c r="H16" s="7">
        <f>F16-D16</f>
        <v/>
      </c>
      <c r="I16" s="5">
        <f>COUNTIF('Raw Data'!$B$2:$B$377,A16)</f>
        <v/>
      </c>
    </row>
    <row r="17">
      <c r="A17" s="5" t="n">
        <v>10367</v>
      </c>
      <c r="B17" s="6">
        <f>INDEX('Raw Data'!$D$2:$D$377,MATCH(A17,'Raw Data'!$B$2:$B$377,0))</f>
        <v/>
      </c>
      <c r="C17" s="5">
        <f>INDEX('Raw Data'!$C$2:$C$377,MATCH(A17,'Raw Data'!$B$2:$B$377,0))</f>
        <v/>
      </c>
      <c r="D17" s="7">
        <f>_xlfn.MINIFS('Raw Data'!$E$2:$E$377,'Raw Data'!$B$2:$B$377,A17)</f>
        <v/>
      </c>
      <c r="E17" s="5">
        <f>INDEX('Raw Data'!$A$2:$A$377,MATCH(1,INDEX(('Raw Data'!$B$2:$B$377=A17)*('Raw Data'!$E$2:$E$377=D17),0),0))</f>
        <v/>
      </c>
      <c r="F17" s="7">
        <f>_xlfn.MAXIFS('Raw Data'!$E$2:$E$377,'Raw Data'!$B$2:$B$377,A17)</f>
        <v/>
      </c>
      <c r="G17" s="5">
        <f>INDEX('Raw Data'!$A$2:$A$377,MATCH(1,INDEX(('Raw Data'!$B$2:$B$377=A17)*('Raw Data'!$E$2:$E$377=F17),0),0))</f>
        <v/>
      </c>
      <c r="H17" s="7">
        <f>F17-D17</f>
        <v/>
      </c>
      <c r="I17" s="5">
        <f>COUNTIF('Raw Data'!$B$2:$B$377,A17)</f>
        <v/>
      </c>
    </row>
    <row r="18">
      <c r="A18" s="5" t="n">
        <v>11370</v>
      </c>
      <c r="B18" s="6">
        <f>INDEX('Raw Data'!$D$2:$D$377,MATCH(A18,'Raw Data'!$B$2:$B$377,0))</f>
        <v/>
      </c>
      <c r="C18" s="5">
        <f>INDEX('Raw Data'!$C$2:$C$377,MATCH(A18,'Raw Data'!$B$2:$B$377,0))</f>
        <v/>
      </c>
      <c r="D18" s="7">
        <f>_xlfn.MINIFS('Raw Data'!$E$2:$E$377,'Raw Data'!$B$2:$B$377,A18)</f>
        <v/>
      </c>
      <c r="E18" s="5">
        <f>INDEX('Raw Data'!$A$2:$A$377,MATCH(1,INDEX(('Raw Data'!$B$2:$B$377=A18)*('Raw Data'!$E$2:$E$377=D18),0),0))</f>
        <v/>
      </c>
      <c r="F18" s="7">
        <f>_xlfn.MAXIFS('Raw Data'!$E$2:$E$377,'Raw Data'!$B$2:$B$377,A18)</f>
        <v/>
      </c>
      <c r="G18" s="5">
        <f>INDEX('Raw Data'!$A$2:$A$377,MATCH(1,INDEX(('Raw Data'!$B$2:$B$377=A18)*('Raw Data'!$E$2:$E$377=F18),0),0))</f>
        <v/>
      </c>
      <c r="H18" s="7">
        <f>F18-D18</f>
        <v/>
      </c>
      <c r="I18" s="5">
        <f>COUNTIF('Raw Data'!$B$2:$B$377,A18)</f>
        <v/>
      </c>
    </row>
    <row r="19">
      <c r="A19" s="5" t="n">
        <v>11371</v>
      </c>
      <c r="B19" s="6">
        <f>INDEX('Raw Data'!$D$2:$D$377,MATCH(A19,'Raw Data'!$B$2:$B$377,0))</f>
        <v/>
      </c>
      <c r="C19" s="5">
        <f>INDEX('Raw Data'!$C$2:$C$377,MATCH(A19,'Raw Data'!$B$2:$B$377,0))</f>
        <v/>
      </c>
      <c r="D19" s="7">
        <f>_xlfn.MINIFS('Raw Data'!$E$2:$E$377,'Raw Data'!$B$2:$B$377,A19)</f>
        <v/>
      </c>
      <c r="E19" s="5">
        <f>INDEX('Raw Data'!$A$2:$A$377,MATCH(1,INDEX(('Raw Data'!$B$2:$B$377=A19)*('Raw Data'!$E$2:$E$377=D19),0),0))</f>
        <v/>
      </c>
      <c r="F19" s="7">
        <f>_xlfn.MAXIFS('Raw Data'!$E$2:$E$377,'Raw Data'!$B$2:$B$377,A19)</f>
        <v/>
      </c>
      <c r="G19" s="5">
        <f>INDEX('Raw Data'!$A$2:$A$377,MATCH(1,INDEX(('Raw Data'!$B$2:$B$377=A19)*('Raw Data'!$E$2:$E$377=F19),0),0))</f>
        <v/>
      </c>
      <c r="H19" s="7">
        <f>F19-D19</f>
        <v/>
      </c>
      <c r="I19" s="5">
        <f>COUNTIF('Raw Data'!$B$2:$B$377,A19)</f>
        <v/>
      </c>
    </row>
    <row r="20">
      <c r="A20" s="5" t="n">
        <v>11372</v>
      </c>
      <c r="B20" s="6">
        <f>INDEX('Raw Data'!$D$2:$D$377,MATCH(A20,'Raw Data'!$B$2:$B$377,0))</f>
        <v/>
      </c>
      <c r="C20" s="5">
        <f>INDEX('Raw Data'!$C$2:$C$377,MATCH(A20,'Raw Data'!$B$2:$B$377,0))</f>
        <v/>
      </c>
      <c r="D20" s="7">
        <f>_xlfn.MINIFS('Raw Data'!$E$2:$E$377,'Raw Data'!$B$2:$B$377,A20)</f>
        <v/>
      </c>
      <c r="E20" s="5">
        <f>INDEX('Raw Data'!$A$2:$A$377,MATCH(1,INDEX(('Raw Data'!$B$2:$B$377=A20)*('Raw Data'!$E$2:$E$377=D20),0),0))</f>
        <v/>
      </c>
      <c r="F20" s="7">
        <f>_xlfn.MAXIFS('Raw Data'!$E$2:$E$377,'Raw Data'!$B$2:$B$377,A20)</f>
        <v/>
      </c>
      <c r="G20" s="5">
        <f>INDEX('Raw Data'!$A$2:$A$377,MATCH(1,INDEX(('Raw Data'!$B$2:$B$377=A20)*('Raw Data'!$E$2:$E$377=F20),0),0))</f>
        <v/>
      </c>
      <c r="H20" s="7">
        <f>F20-D20</f>
        <v/>
      </c>
      <c r="I20" s="5">
        <f>COUNTIF('Raw Data'!$B$2:$B$377,A20)</f>
        <v/>
      </c>
    </row>
    <row r="21">
      <c r="A21" s="5" t="n">
        <v>11373</v>
      </c>
      <c r="B21" s="6">
        <f>INDEX('Raw Data'!$D$2:$D$377,MATCH(A21,'Raw Data'!$B$2:$B$377,0))</f>
        <v/>
      </c>
      <c r="C21" s="5">
        <f>INDEX('Raw Data'!$C$2:$C$377,MATCH(A21,'Raw Data'!$B$2:$B$377,0))</f>
        <v/>
      </c>
      <c r="D21" s="7">
        <f>_xlfn.MINIFS('Raw Data'!$E$2:$E$377,'Raw Data'!$B$2:$B$377,A21)</f>
        <v/>
      </c>
      <c r="E21" s="5">
        <f>INDEX('Raw Data'!$A$2:$A$377,MATCH(1,INDEX(('Raw Data'!$B$2:$B$377=A21)*('Raw Data'!$E$2:$E$377=D21),0),0))</f>
        <v/>
      </c>
      <c r="F21" s="7">
        <f>_xlfn.MAXIFS('Raw Data'!$E$2:$E$377,'Raw Data'!$B$2:$B$377,A21)</f>
        <v/>
      </c>
      <c r="G21" s="5">
        <f>INDEX('Raw Data'!$A$2:$A$377,MATCH(1,INDEX(('Raw Data'!$B$2:$B$377=A21)*('Raw Data'!$E$2:$E$377=F21),0),0))</f>
        <v/>
      </c>
      <c r="H21" s="7">
        <f>F21-D21</f>
        <v/>
      </c>
      <c r="I21" s="5">
        <f>COUNTIF('Raw Data'!$B$2:$B$377,A21)</f>
        <v/>
      </c>
    </row>
    <row r="22">
      <c r="A22" s="5" t="n">
        <v>11375</v>
      </c>
      <c r="B22" s="6">
        <f>INDEX('Raw Data'!$D$2:$D$377,MATCH(A22,'Raw Data'!$B$2:$B$377,0))</f>
        <v/>
      </c>
      <c r="C22" s="5">
        <f>INDEX('Raw Data'!$C$2:$C$377,MATCH(A22,'Raw Data'!$B$2:$B$377,0))</f>
        <v/>
      </c>
      <c r="D22" s="7">
        <f>_xlfn.MINIFS('Raw Data'!$E$2:$E$377,'Raw Data'!$B$2:$B$377,A22)</f>
        <v/>
      </c>
      <c r="E22" s="5">
        <f>INDEX('Raw Data'!$A$2:$A$377,MATCH(1,INDEX(('Raw Data'!$B$2:$B$377=A22)*('Raw Data'!$E$2:$E$377=D22),0),0))</f>
        <v/>
      </c>
      <c r="F22" s="7">
        <f>_xlfn.MAXIFS('Raw Data'!$E$2:$E$377,'Raw Data'!$B$2:$B$377,A22)</f>
        <v/>
      </c>
      <c r="G22" s="5">
        <f>INDEX('Raw Data'!$A$2:$A$377,MATCH(1,INDEX(('Raw Data'!$B$2:$B$377=A22)*('Raw Data'!$E$2:$E$377=F22),0),0))</f>
        <v/>
      </c>
      <c r="H22" s="7">
        <f>F22-D22</f>
        <v/>
      </c>
      <c r="I22" s="5">
        <f>COUNTIF('Raw Data'!$B$2:$B$377,A22)</f>
        <v/>
      </c>
    </row>
    <row r="23">
      <c r="A23" s="5" t="n">
        <v>11376</v>
      </c>
      <c r="B23" s="6">
        <f>INDEX('Raw Data'!$D$2:$D$377,MATCH(A23,'Raw Data'!$B$2:$B$377,0))</f>
        <v/>
      </c>
      <c r="C23" s="5">
        <f>INDEX('Raw Data'!$C$2:$C$377,MATCH(A23,'Raw Data'!$B$2:$B$377,0))</f>
        <v/>
      </c>
      <c r="D23" s="7">
        <f>_xlfn.MINIFS('Raw Data'!$E$2:$E$377,'Raw Data'!$B$2:$B$377,A23)</f>
        <v/>
      </c>
      <c r="E23" s="5">
        <f>INDEX('Raw Data'!$A$2:$A$377,MATCH(1,INDEX(('Raw Data'!$B$2:$B$377=A23)*('Raw Data'!$E$2:$E$377=D23),0),0))</f>
        <v/>
      </c>
      <c r="F23" s="7">
        <f>_xlfn.MAXIFS('Raw Data'!$E$2:$E$377,'Raw Data'!$B$2:$B$377,A23)</f>
        <v/>
      </c>
      <c r="G23" s="5">
        <f>INDEX('Raw Data'!$A$2:$A$377,MATCH(1,INDEX(('Raw Data'!$B$2:$B$377=A23)*('Raw Data'!$E$2:$E$377=F23),0),0))</f>
        <v/>
      </c>
      <c r="H23" s="7">
        <f>F23-D23</f>
        <v/>
      </c>
      <c r="I23" s="5">
        <f>COUNTIF('Raw Data'!$B$2:$B$377,A23)</f>
        <v/>
      </c>
    </row>
    <row r="24">
      <c r="A24" s="5" t="n">
        <v>11378</v>
      </c>
      <c r="B24" s="6">
        <f>INDEX('Raw Data'!$D$2:$D$377,MATCH(A24,'Raw Data'!$B$2:$B$377,0))</f>
        <v/>
      </c>
      <c r="C24" s="5">
        <f>INDEX('Raw Data'!$C$2:$C$377,MATCH(A24,'Raw Data'!$B$2:$B$377,0))</f>
        <v/>
      </c>
      <c r="D24" s="7">
        <f>_xlfn.MINIFS('Raw Data'!$E$2:$E$377,'Raw Data'!$B$2:$B$377,A24)</f>
        <v/>
      </c>
      <c r="E24" s="5">
        <f>INDEX('Raw Data'!$A$2:$A$377,MATCH(1,INDEX(('Raw Data'!$B$2:$B$377=A24)*('Raw Data'!$E$2:$E$377=D24),0),0))</f>
        <v/>
      </c>
      <c r="F24" s="7">
        <f>_xlfn.MAXIFS('Raw Data'!$E$2:$E$377,'Raw Data'!$B$2:$B$377,A24)</f>
        <v/>
      </c>
      <c r="G24" s="5">
        <f>INDEX('Raw Data'!$A$2:$A$377,MATCH(1,INDEX(('Raw Data'!$B$2:$B$377=A24)*('Raw Data'!$E$2:$E$377=F24),0),0))</f>
        <v/>
      </c>
      <c r="H24" s="7">
        <f>F24-D24</f>
        <v/>
      </c>
      <c r="I24" s="5">
        <f>COUNTIF('Raw Data'!$B$2:$B$377,A24)</f>
        <v/>
      </c>
    </row>
    <row r="25">
      <c r="A25" s="5" t="n">
        <v>11380</v>
      </c>
      <c r="B25" s="6">
        <f>INDEX('Raw Data'!$D$2:$D$377,MATCH(A25,'Raw Data'!$B$2:$B$377,0))</f>
        <v/>
      </c>
      <c r="C25" s="5">
        <f>INDEX('Raw Data'!$C$2:$C$377,MATCH(A25,'Raw Data'!$B$2:$B$377,0))</f>
        <v/>
      </c>
      <c r="D25" s="7">
        <f>_xlfn.MINIFS('Raw Data'!$E$2:$E$377,'Raw Data'!$B$2:$B$377,A25)</f>
        <v/>
      </c>
      <c r="E25" s="5">
        <f>INDEX('Raw Data'!$A$2:$A$377,MATCH(1,INDEX(('Raw Data'!$B$2:$B$377=A25)*('Raw Data'!$E$2:$E$377=D25),0),0))</f>
        <v/>
      </c>
      <c r="F25" s="7">
        <f>_xlfn.MAXIFS('Raw Data'!$E$2:$E$377,'Raw Data'!$B$2:$B$377,A25)</f>
        <v/>
      </c>
      <c r="G25" s="5">
        <f>INDEX('Raw Data'!$A$2:$A$377,MATCH(1,INDEX(('Raw Data'!$B$2:$B$377=A25)*('Raw Data'!$E$2:$E$377=F25),0),0))</f>
        <v/>
      </c>
      <c r="H25" s="7">
        <f>F25-D25</f>
        <v/>
      </c>
      <c r="I25" s="5">
        <f>COUNTIF('Raw Data'!$B$2:$B$377,A25)</f>
        <v/>
      </c>
    </row>
    <row r="26">
      <c r="A26" s="5" t="n">
        <v>11381</v>
      </c>
      <c r="B26" s="6">
        <f>INDEX('Raw Data'!$D$2:$D$377,MATCH(A26,'Raw Data'!$B$2:$B$377,0))</f>
        <v/>
      </c>
      <c r="C26" s="5">
        <f>INDEX('Raw Data'!$C$2:$C$377,MATCH(A26,'Raw Data'!$B$2:$B$377,0))</f>
        <v/>
      </c>
      <c r="D26" s="7">
        <f>_xlfn.MINIFS('Raw Data'!$E$2:$E$377,'Raw Data'!$B$2:$B$377,A26)</f>
        <v/>
      </c>
      <c r="E26" s="5">
        <f>INDEX('Raw Data'!$A$2:$A$377,MATCH(1,INDEX(('Raw Data'!$B$2:$B$377=A26)*('Raw Data'!$E$2:$E$377=D26),0),0))</f>
        <v/>
      </c>
      <c r="F26" s="7">
        <f>_xlfn.MAXIFS('Raw Data'!$E$2:$E$377,'Raw Data'!$B$2:$B$377,A26)</f>
        <v/>
      </c>
      <c r="G26" s="5">
        <f>INDEX('Raw Data'!$A$2:$A$377,MATCH(1,INDEX(('Raw Data'!$B$2:$B$377=A26)*('Raw Data'!$E$2:$E$377=F26),0),0))</f>
        <v/>
      </c>
      <c r="H26" s="7">
        <f>F26-D26</f>
        <v/>
      </c>
      <c r="I26" s="5">
        <f>COUNTIF('Raw Data'!$B$2:$B$377,A26)</f>
        <v/>
      </c>
    </row>
    <row r="27">
      <c r="A27" s="5" t="n">
        <v>11382</v>
      </c>
      <c r="B27" s="6">
        <f>INDEX('Raw Data'!$D$2:$D$377,MATCH(A27,'Raw Data'!$B$2:$B$377,0))</f>
        <v/>
      </c>
      <c r="C27" s="5">
        <f>INDEX('Raw Data'!$C$2:$C$377,MATCH(A27,'Raw Data'!$B$2:$B$377,0))</f>
        <v/>
      </c>
      <c r="D27" s="7">
        <f>_xlfn.MINIFS('Raw Data'!$E$2:$E$377,'Raw Data'!$B$2:$B$377,A27)</f>
        <v/>
      </c>
      <c r="E27" s="5">
        <f>INDEX('Raw Data'!$A$2:$A$377,MATCH(1,INDEX(('Raw Data'!$B$2:$B$377=A27)*('Raw Data'!$E$2:$E$377=D27),0),0))</f>
        <v/>
      </c>
      <c r="F27" s="7">
        <f>_xlfn.MAXIFS('Raw Data'!$E$2:$E$377,'Raw Data'!$B$2:$B$377,A27)</f>
        <v/>
      </c>
      <c r="G27" s="5">
        <f>INDEX('Raw Data'!$A$2:$A$377,MATCH(1,INDEX(('Raw Data'!$B$2:$B$377=A27)*('Raw Data'!$E$2:$E$377=F27),0),0))</f>
        <v/>
      </c>
      <c r="H27" s="7">
        <f>F27-D27</f>
        <v/>
      </c>
      <c r="I27" s="5">
        <f>COUNTIF('Raw Data'!$B$2:$B$377,A27)</f>
        <v/>
      </c>
    </row>
    <row r="28">
      <c r="A28" s="5" t="n">
        <v>11383</v>
      </c>
      <c r="B28" s="6">
        <f>INDEX('Raw Data'!$D$2:$D$377,MATCH(A28,'Raw Data'!$B$2:$B$377,0))</f>
        <v/>
      </c>
      <c r="C28" s="5">
        <f>INDEX('Raw Data'!$C$2:$C$377,MATCH(A28,'Raw Data'!$B$2:$B$377,0))</f>
        <v/>
      </c>
      <c r="D28" s="7">
        <f>_xlfn.MINIFS('Raw Data'!$E$2:$E$377,'Raw Data'!$B$2:$B$377,A28)</f>
        <v/>
      </c>
      <c r="E28" s="5">
        <f>INDEX('Raw Data'!$A$2:$A$377,MATCH(1,INDEX(('Raw Data'!$B$2:$B$377=A28)*('Raw Data'!$E$2:$E$377=D28),0),0))</f>
        <v/>
      </c>
      <c r="F28" s="7">
        <f>_xlfn.MAXIFS('Raw Data'!$E$2:$E$377,'Raw Data'!$B$2:$B$377,A28)</f>
        <v/>
      </c>
      <c r="G28" s="5">
        <f>INDEX('Raw Data'!$A$2:$A$377,MATCH(1,INDEX(('Raw Data'!$B$2:$B$377=A28)*('Raw Data'!$E$2:$E$377=F28),0),0))</f>
        <v/>
      </c>
      <c r="H28" s="7">
        <f>F28-D28</f>
        <v/>
      </c>
      <c r="I28" s="5">
        <f>COUNTIF('Raw Data'!$B$2:$B$377,A28)</f>
        <v/>
      </c>
    </row>
    <row r="29">
      <c r="A29" s="5" t="n">
        <v>11384</v>
      </c>
      <c r="B29" s="6">
        <f>INDEX('Raw Data'!$D$2:$D$377,MATCH(A29,'Raw Data'!$B$2:$B$377,0))</f>
        <v/>
      </c>
      <c r="C29" s="5">
        <f>INDEX('Raw Data'!$C$2:$C$377,MATCH(A29,'Raw Data'!$B$2:$B$377,0))</f>
        <v/>
      </c>
      <c r="D29" s="7">
        <f>_xlfn.MINIFS('Raw Data'!$E$2:$E$377,'Raw Data'!$B$2:$B$377,A29)</f>
        <v/>
      </c>
      <c r="E29" s="5">
        <f>INDEX('Raw Data'!$A$2:$A$377,MATCH(1,INDEX(('Raw Data'!$B$2:$B$377=A29)*('Raw Data'!$E$2:$E$377=D29),0),0))</f>
        <v/>
      </c>
      <c r="F29" s="7">
        <f>_xlfn.MAXIFS('Raw Data'!$E$2:$E$377,'Raw Data'!$B$2:$B$377,A29)</f>
        <v/>
      </c>
      <c r="G29" s="5">
        <f>INDEX('Raw Data'!$A$2:$A$377,MATCH(1,INDEX(('Raw Data'!$B$2:$B$377=A29)*('Raw Data'!$E$2:$E$377=F29),0),0))</f>
        <v/>
      </c>
      <c r="H29" s="7">
        <f>F29-D29</f>
        <v/>
      </c>
      <c r="I29" s="5">
        <f>COUNTIF('Raw Data'!$B$2:$B$377,A29)</f>
        <v/>
      </c>
    </row>
    <row r="30">
      <c r="A30" s="5" t="n">
        <v>11386</v>
      </c>
      <c r="B30" s="6">
        <f>INDEX('Raw Data'!$D$2:$D$377,MATCH(A30,'Raw Data'!$B$2:$B$377,0))</f>
        <v/>
      </c>
      <c r="C30" s="5">
        <f>INDEX('Raw Data'!$C$2:$C$377,MATCH(A30,'Raw Data'!$B$2:$B$377,0))</f>
        <v/>
      </c>
      <c r="D30" s="7">
        <f>_xlfn.MINIFS('Raw Data'!$E$2:$E$377,'Raw Data'!$B$2:$B$377,A30)</f>
        <v/>
      </c>
      <c r="E30" s="5">
        <f>INDEX('Raw Data'!$A$2:$A$377,MATCH(1,INDEX(('Raw Data'!$B$2:$B$377=A30)*('Raw Data'!$E$2:$E$377=D30),0),0))</f>
        <v/>
      </c>
      <c r="F30" s="7">
        <f>_xlfn.MAXIFS('Raw Data'!$E$2:$E$377,'Raw Data'!$B$2:$B$377,A30)</f>
        <v/>
      </c>
      <c r="G30" s="5">
        <f>INDEX('Raw Data'!$A$2:$A$377,MATCH(1,INDEX(('Raw Data'!$B$2:$B$377=A30)*('Raw Data'!$E$2:$E$377=F30),0),0))</f>
        <v/>
      </c>
      <c r="H30" s="7">
        <f>F30-D30</f>
        <v/>
      </c>
      <c r="I30" s="5">
        <f>COUNTIF('Raw Data'!$B$2:$B$377,A30)</f>
        <v/>
      </c>
    </row>
    <row r="31">
      <c r="A31" s="5" t="n">
        <v>30728</v>
      </c>
      <c r="B31" s="6">
        <f>INDEX('Raw Data'!$D$2:$D$377,MATCH(A31,'Raw Data'!$B$2:$B$377,0))</f>
        <v/>
      </c>
      <c r="C31" s="5">
        <f>INDEX('Raw Data'!$C$2:$C$377,MATCH(A31,'Raw Data'!$B$2:$B$377,0))</f>
        <v/>
      </c>
      <c r="D31" s="7">
        <f>_xlfn.MINIFS('Raw Data'!$E$2:$E$377,'Raw Data'!$B$2:$B$377,A31)</f>
        <v/>
      </c>
      <c r="E31" s="5">
        <f>INDEX('Raw Data'!$A$2:$A$377,MATCH(1,INDEX(('Raw Data'!$B$2:$B$377=A31)*('Raw Data'!$E$2:$E$377=D31),0),0))</f>
        <v/>
      </c>
      <c r="F31" s="7">
        <f>_xlfn.MAXIFS('Raw Data'!$E$2:$E$377,'Raw Data'!$B$2:$B$377,A31)</f>
        <v/>
      </c>
      <c r="G31" s="5">
        <f>INDEX('Raw Data'!$A$2:$A$377,MATCH(1,INDEX(('Raw Data'!$B$2:$B$377=A31)*('Raw Data'!$E$2:$E$377=F31),0),0))</f>
        <v/>
      </c>
      <c r="H31" s="7">
        <f>F31-D31</f>
        <v/>
      </c>
      <c r="I31" s="5">
        <f>COUNTIF('Raw Data'!$B$2:$B$377,A31)</f>
        <v/>
      </c>
    </row>
    <row r="32">
      <c r="A32" s="5" t="n">
        <v>40690</v>
      </c>
      <c r="B32" s="6">
        <f>INDEX('Raw Data'!$D$2:$D$377,MATCH(A32,'Raw Data'!$B$2:$B$377,0))</f>
        <v/>
      </c>
      <c r="C32" s="5">
        <f>INDEX('Raw Data'!$C$2:$C$377,MATCH(A32,'Raw Data'!$B$2:$B$377,0))</f>
        <v/>
      </c>
      <c r="D32" s="7">
        <f>_xlfn.MINIFS('Raw Data'!$E$2:$E$377,'Raw Data'!$B$2:$B$377,A32)</f>
        <v/>
      </c>
      <c r="E32" s="5">
        <f>INDEX('Raw Data'!$A$2:$A$377,MATCH(1,INDEX(('Raw Data'!$B$2:$B$377=A32)*('Raw Data'!$E$2:$E$377=D32),0),0))</f>
        <v/>
      </c>
      <c r="F32" s="7">
        <f>_xlfn.MAXIFS('Raw Data'!$E$2:$E$377,'Raw Data'!$B$2:$B$377,A32)</f>
        <v/>
      </c>
      <c r="G32" s="5">
        <f>INDEX('Raw Data'!$A$2:$A$377,MATCH(1,INDEX(('Raw Data'!$B$2:$B$377=A32)*('Raw Data'!$E$2:$E$377=F32),0),0))</f>
        <v/>
      </c>
      <c r="H32" s="7">
        <f>F32-D32</f>
        <v/>
      </c>
      <c r="I32" s="5">
        <f>COUNTIF('Raw Data'!$B$2:$B$377,A32)</f>
        <v/>
      </c>
    </row>
    <row r="33">
      <c r="A33" s="5" t="n">
        <v>40721</v>
      </c>
      <c r="B33" s="6">
        <f>INDEX('Raw Data'!$D$2:$D$377,MATCH(A33,'Raw Data'!$B$2:$B$377,0))</f>
        <v/>
      </c>
      <c r="C33" s="5">
        <f>INDEX('Raw Data'!$C$2:$C$377,MATCH(A33,'Raw Data'!$B$2:$B$377,0))</f>
        <v/>
      </c>
      <c r="D33" s="7">
        <f>_xlfn.MINIFS('Raw Data'!$E$2:$E$377,'Raw Data'!$B$2:$B$377,A33)</f>
        <v/>
      </c>
      <c r="E33" s="5">
        <f>INDEX('Raw Data'!$A$2:$A$377,MATCH(1,INDEX(('Raw Data'!$B$2:$B$377=A33)*('Raw Data'!$E$2:$E$377=D33),0),0))</f>
        <v/>
      </c>
      <c r="F33" s="7">
        <f>_xlfn.MAXIFS('Raw Data'!$E$2:$E$377,'Raw Data'!$B$2:$B$377,A33)</f>
        <v/>
      </c>
      <c r="G33" s="5">
        <f>INDEX('Raw Data'!$A$2:$A$377,MATCH(1,INDEX(('Raw Data'!$B$2:$B$377=A33)*('Raw Data'!$E$2:$E$377=F33),0),0))</f>
        <v/>
      </c>
      <c r="H33" s="7">
        <f>F33-D33</f>
        <v/>
      </c>
      <c r="I33" s="5">
        <f>COUNTIF('Raw Data'!$B$2:$B$377,A33)</f>
        <v/>
      </c>
    </row>
    <row r="34">
      <c r="A34" s="5" t="n">
        <v>40743</v>
      </c>
      <c r="B34" s="6">
        <f>INDEX('Raw Data'!$D$2:$D$377,MATCH(A34,'Raw Data'!$B$2:$B$377,0))</f>
        <v/>
      </c>
      <c r="C34" s="5">
        <f>INDEX('Raw Data'!$C$2:$C$377,MATCH(A34,'Raw Data'!$B$2:$B$377,0))</f>
        <v/>
      </c>
      <c r="D34" s="7">
        <f>_xlfn.MINIFS('Raw Data'!$E$2:$E$377,'Raw Data'!$B$2:$B$377,A34)</f>
        <v/>
      </c>
      <c r="E34" s="5">
        <f>INDEX('Raw Data'!$A$2:$A$377,MATCH(1,INDEX(('Raw Data'!$B$2:$B$377=A34)*('Raw Data'!$E$2:$E$377=D34),0),0))</f>
        <v/>
      </c>
      <c r="F34" s="7">
        <f>_xlfn.MAXIFS('Raw Data'!$E$2:$E$377,'Raw Data'!$B$2:$B$377,A34)</f>
        <v/>
      </c>
      <c r="G34" s="5">
        <f>INDEX('Raw Data'!$A$2:$A$377,MATCH(1,INDEX(('Raw Data'!$B$2:$B$377=A34)*('Raw Data'!$E$2:$E$377=F34),0),0))</f>
        <v/>
      </c>
      <c r="H34" s="7">
        <f>F34-D34</f>
        <v/>
      </c>
      <c r="I34" s="5">
        <f>COUNTIF('Raw Data'!$B$2:$B$377,A34)</f>
        <v/>
      </c>
    </row>
    <row r="35">
      <c r="A35" s="5" t="n">
        <v>40744</v>
      </c>
      <c r="B35" s="6">
        <f>INDEX('Raw Data'!$D$2:$D$377,MATCH(A35,'Raw Data'!$B$2:$B$377,0))</f>
        <v/>
      </c>
      <c r="C35" s="5">
        <f>INDEX('Raw Data'!$C$2:$C$377,MATCH(A35,'Raw Data'!$B$2:$B$377,0))</f>
        <v/>
      </c>
      <c r="D35" s="7">
        <f>_xlfn.MINIFS('Raw Data'!$E$2:$E$377,'Raw Data'!$B$2:$B$377,A35)</f>
        <v/>
      </c>
      <c r="E35" s="5">
        <f>INDEX('Raw Data'!$A$2:$A$377,MATCH(1,INDEX(('Raw Data'!$B$2:$B$377=A35)*('Raw Data'!$E$2:$E$377=D35),0),0))</f>
        <v/>
      </c>
      <c r="F35" s="7">
        <f>_xlfn.MAXIFS('Raw Data'!$E$2:$E$377,'Raw Data'!$B$2:$B$377,A35)</f>
        <v/>
      </c>
      <c r="G35" s="5">
        <f>INDEX('Raw Data'!$A$2:$A$377,MATCH(1,INDEX(('Raw Data'!$B$2:$B$377=A35)*('Raw Data'!$E$2:$E$377=F35),0),0))</f>
        <v/>
      </c>
      <c r="H35" s="7">
        <f>F35-D35</f>
        <v/>
      </c>
      <c r="I35" s="5">
        <f>COUNTIF('Raw Data'!$B$2:$B$377,A35)</f>
        <v/>
      </c>
    </row>
    <row r="36">
      <c r="A36" s="5" t="n">
        <v>40755</v>
      </c>
      <c r="B36" s="6">
        <f>INDEX('Raw Data'!$D$2:$D$377,MATCH(A36,'Raw Data'!$B$2:$B$377,0))</f>
        <v/>
      </c>
      <c r="C36" s="5">
        <f>INDEX('Raw Data'!$C$2:$C$377,MATCH(A36,'Raw Data'!$B$2:$B$377,0))</f>
        <v/>
      </c>
      <c r="D36" s="7">
        <f>_xlfn.MINIFS('Raw Data'!$E$2:$E$377,'Raw Data'!$B$2:$B$377,A36)</f>
        <v/>
      </c>
      <c r="E36" s="5">
        <f>INDEX('Raw Data'!$A$2:$A$377,MATCH(1,INDEX(('Raw Data'!$B$2:$B$377=A36)*('Raw Data'!$E$2:$E$377=D36),0),0))</f>
        <v/>
      </c>
      <c r="F36" s="7">
        <f>_xlfn.MAXIFS('Raw Data'!$E$2:$E$377,'Raw Data'!$B$2:$B$377,A36)</f>
        <v/>
      </c>
      <c r="G36" s="5">
        <f>INDEX('Raw Data'!$A$2:$A$377,MATCH(1,INDEX(('Raw Data'!$B$2:$B$377=A36)*('Raw Data'!$E$2:$E$377=F36),0),0))</f>
        <v/>
      </c>
      <c r="H36" s="7">
        <f>F36-D36</f>
        <v/>
      </c>
      <c r="I36" s="5">
        <f>COUNTIF('Raw Data'!$B$2:$B$377,A36)</f>
        <v/>
      </c>
    </row>
    <row r="37">
      <c r="A37" s="5" t="n">
        <v>40771</v>
      </c>
      <c r="B37" s="6">
        <f>INDEX('Raw Data'!$D$2:$D$377,MATCH(A37,'Raw Data'!$B$2:$B$377,0))</f>
        <v/>
      </c>
      <c r="C37" s="5">
        <f>INDEX('Raw Data'!$C$2:$C$377,MATCH(A37,'Raw Data'!$B$2:$B$377,0))</f>
        <v/>
      </c>
      <c r="D37" s="7">
        <f>_xlfn.MINIFS('Raw Data'!$E$2:$E$377,'Raw Data'!$B$2:$B$377,A37)</f>
        <v/>
      </c>
      <c r="E37" s="5">
        <f>INDEX('Raw Data'!$A$2:$A$377,MATCH(1,INDEX(('Raw Data'!$B$2:$B$377=A37)*('Raw Data'!$E$2:$E$377=D37),0),0))</f>
        <v/>
      </c>
      <c r="F37" s="7">
        <f>_xlfn.MAXIFS('Raw Data'!$E$2:$E$377,'Raw Data'!$B$2:$B$377,A37)</f>
        <v/>
      </c>
      <c r="G37" s="5">
        <f>INDEX('Raw Data'!$A$2:$A$377,MATCH(1,INDEX(('Raw Data'!$B$2:$B$377=A37)*('Raw Data'!$E$2:$E$377=F37),0),0))</f>
        <v/>
      </c>
      <c r="H37" s="7">
        <f>F37-D37</f>
        <v/>
      </c>
      <c r="I37" s="5">
        <f>COUNTIF('Raw Data'!$B$2:$B$377,A37)</f>
        <v/>
      </c>
    </row>
    <row r="38">
      <c r="A38" s="5" t="n">
        <v>40813</v>
      </c>
      <c r="B38" s="6">
        <f>INDEX('Raw Data'!$D$2:$D$377,MATCH(A38,'Raw Data'!$B$2:$B$377,0))</f>
        <v/>
      </c>
      <c r="C38" s="5">
        <f>INDEX('Raw Data'!$C$2:$C$377,MATCH(A38,'Raw Data'!$B$2:$B$377,0))</f>
        <v/>
      </c>
      <c r="D38" s="7">
        <f>_xlfn.MINIFS('Raw Data'!$E$2:$E$377,'Raw Data'!$B$2:$B$377,A38)</f>
        <v/>
      </c>
      <c r="E38" s="5">
        <f>INDEX('Raw Data'!$A$2:$A$377,MATCH(1,INDEX(('Raw Data'!$B$2:$B$377=A38)*('Raw Data'!$E$2:$E$377=D38),0),0))</f>
        <v/>
      </c>
      <c r="F38" s="7">
        <f>_xlfn.MAXIFS('Raw Data'!$E$2:$E$377,'Raw Data'!$B$2:$B$377,A38)</f>
        <v/>
      </c>
      <c r="G38" s="5">
        <f>INDEX('Raw Data'!$A$2:$A$377,MATCH(1,INDEX(('Raw Data'!$B$2:$B$377=A38)*('Raw Data'!$E$2:$E$377=F38),0),0))</f>
        <v/>
      </c>
      <c r="H38" s="7">
        <f>F38-D38</f>
        <v/>
      </c>
      <c r="I38" s="5">
        <f>COUNTIF('Raw Data'!$B$2:$B$377,A38)</f>
        <v/>
      </c>
    </row>
    <row r="39">
      <c r="A39" s="5" t="n">
        <v>40814</v>
      </c>
      <c r="B39" s="6">
        <f>INDEX('Raw Data'!$D$2:$D$377,MATCH(A39,'Raw Data'!$B$2:$B$377,0))</f>
        <v/>
      </c>
      <c r="C39" s="5">
        <f>INDEX('Raw Data'!$C$2:$C$377,MATCH(A39,'Raw Data'!$B$2:$B$377,0))</f>
        <v/>
      </c>
      <c r="D39" s="7">
        <f>_xlfn.MINIFS('Raw Data'!$E$2:$E$377,'Raw Data'!$B$2:$B$377,A39)</f>
        <v/>
      </c>
      <c r="E39" s="5">
        <f>INDEX('Raw Data'!$A$2:$A$377,MATCH(1,INDEX(('Raw Data'!$B$2:$B$377=A39)*('Raw Data'!$E$2:$E$377=D39),0),0))</f>
        <v/>
      </c>
      <c r="F39" s="7">
        <f>_xlfn.MAXIFS('Raw Data'!$E$2:$E$377,'Raw Data'!$B$2:$B$377,A39)</f>
        <v/>
      </c>
      <c r="G39" s="5">
        <f>INDEX('Raw Data'!$A$2:$A$377,MATCH(1,INDEX(('Raw Data'!$B$2:$B$377=A39)*('Raw Data'!$E$2:$E$377=F39),0),0))</f>
        <v/>
      </c>
      <c r="H39" s="7">
        <f>F39-D39</f>
        <v/>
      </c>
      <c r="I39" s="5">
        <f>COUNTIF('Raw Data'!$B$2:$B$377,A39)</f>
        <v/>
      </c>
    </row>
    <row r="40">
      <c r="A40" s="5" t="n">
        <v>40824</v>
      </c>
      <c r="B40" s="6">
        <f>INDEX('Raw Data'!$D$2:$D$377,MATCH(A40,'Raw Data'!$B$2:$B$377,0))</f>
        <v/>
      </c>
      <c r="C40" s="5">
        <f>INDEX('Raw Data'!$C$2:$C$377,MATCH(A40,'Raw Data'!$B$2:$B$377,0))</f>
        <v/>
      </c>
      <c r="D40" s="7">
        <f>_xlfn.MINIFS('Raw Data'!$E$2:$E$377,'Raw Data'!$B$2:$B$377,A40)</f>
        <v/>
      </c>
      <c r="E40" s="5">
        <f>INDEX('Raw Data'!$A$2:$A$377,MATCH(1,INDEX(('Raw Data'!$B$2:$B$377=A40)*('Raw Data'!$E$2:$E$377=D40),0),0))</f>
        <v/>
      </c>
      <c r="F40" s="7">
        <f>_xlfn.MAXIFS('Raw Data'!$E$2:$E$377,'Raw Data'!$B$2:$B$377,A40)</f>
        <v/>
      </c>
      <c r="G40" s="5">
        <f>INDEX('Raw Data'!$A$2:$A$377,MATCH(1,INDEX(('Raw Data'!$B$2:$B$377=A40)*('Raw Data'!$E$2:$E$377=F40),0),0))</f>
        <v/>
      </c>
      <c r="H40" s="7">
        <f>F40-D40</f>
        <v/>
      </c>
      <c r="I40" s="5">
        <f>COUNTIF('Raw Data'!$B$2:$B$377,A40)</f>
        <v/>
      </c>
    </row>
    <row r="41">
      <c r="A41" s="5" t="n">
        <v>41713</v>
      </c>
      <c r="B41" s="6">
        <f>INDEX('Raw Data'!$D$2:$D$377,MATCH(A41,'Raw Data'!$B$2:$B$377,0))</f>
        <v/>
      </c>
      <c r="C41" s="5">
        <f>INDEX('Raw Data'!$C$2:$C$377,MATCH(A41,'Raw Data'!$B$2:$B$377,0))</f>
        <v/>
      </c>
      <c r="D41" s="7">
        <f>_xlfn.MINIFS('Raw Data'!$E$2:$E$377,'Raw Data'!$B$2:$B$377,A41)</f>
        <v/>
      </c>
      <c r="E41" s="5">
        <f>INDEX('Raw Data'!$A$2:$A$377,MATCH(1,INDEX(('Raw Data'!$B$2:$B$377=A41)*('Raw Data'!$E$2:$E$377=D41),0),0))</f>
        <v/>
      </c>
      <c r="F41" s="7">
        <f>_xlfn.MAXIFS('Raw Data'!$E$2:$E$377,'Raw Data'!$B$2:$B$377,A41)</f>
        <v/>
      </c>
      <c r="G41" s="5">
        <f>INDEX('Raw Data'!$A$2:$A$377,MATCH(1,INDEX(('Raw Data'!$B$2:$B$377=A41)*('Raw Data'!$E$2:$E$377=F41),0),0))</f>
        <v/>
      </c>
      <c r="H41" s="7">
        <f>F41-D41</f>
        <v/>
      </c>
      <c r="I41" s="5">
        <f>COUNTIF('Raw Data'!$B$2:$B$377,A41)</f>
        <v/>
      </c>
    </row>
    <row r="42">
      <c r="A42" s="5" t="n">
        <v>42635</v>
      </c>
      <c r="B42" s="6">
        <f>INDEX('Raw Data'!$D$2:$D$377,MATCH(A42,'Raw Data'!$B$2:$B$377,0))</f>
        <v/>
      </c>
      <c r="C42" s="5">
        <f>INDEX('Raw Data'!$C$2:$C$377,MATCH(A42,'Raw Data'!$B$2:$B$377,0))</f>
        <v/>
      </c>
      <c r="D42" s="7">
        <f>_xlfn.MINIFS('Raw Data'!$E$2:$E$377,'Raw Data'!$B$2:$B$377,A42)</f>
        <v/>
      </c>
      <c r="E42" s="5">
        <f>INDEX('Raw Data'!$A$2:$A$377,MATCH(1,INDEX(('Raw Data'!$B$2:$B$377=A42)*('Raw Data'!$E$2:$E$377=D42),0),0))</f>
        <v/>
      </c>
      <c r="F42" s="7">
        <f>_xlfn.MAXIFS('Raw Data'!$E$2:$E$377,'Raw Data'!$B$2:$B$377,A42)</f>
        <v/>
      </c>
      <c r="G42" s="5">
        <f>INDEX('Raw Data'!$A$2:$A$377,MATCH(1,INDEX(('Raw Data'!$B$2:$B$377=A42)*('Raw Data'!$E$2:$E$377=F42),0),0))</f>
        <v/>
      </c>
      <c r="H42" s="7">
        <f>F42-D42</f>
        <v/>
      </c>
      <c r="I42" s="5">
        <f>COUNTIF('Raw Data'!$B$2:$B$377,A42)</f>
        <v/>
      </c>
    </row>
    <row r="43">
      <c r="A43" s="5" t="n">
        <v>42638</v>
      </c>
      <c r="B43" s="6">
        <f>INDEX('Raw Data'!$D$2:$D$377,MATCH(A43,'Raw Data'!$B$2:$B$377,0))</f>
        <v/>
      </c>
      <c r="C43" s="5">
        <f>INDEX('Raw Data'!$C$2:$C$377,MATCH(A43,'Raw Data'!$B$2:$B$377,0))</f>
        <v/>
      </c>
      <c r="D43" s="7">
        <f>_xlfn.MINIFS('Raw Data'!$E$2:$E$377,'Raw Data'!$B$2:$B$377,A43)</f>
        <v/>
      </c>
      <c r="E43" s="5">
        <f>INDEX('Raw Data'!$A$2:$A$377,MATCH(1,INDEX(('Raw Data'!$B$2:$B$377=A43)*('Raw Data'!$E$2:$E$377=D43),0),0))</f>
        <v/>
      </c>
      <c r="F43" s="7">
        <f>_xlfn.MAXIFS('Raw Data'!$E$2:$E$377,'Raw Data'!$B$2:$B$377,A43)</f>
        <v/>
      </c>
      <c r="G43" s="5">
        <f>INDEX('Raw Data'!$A$2:$A$377,MATCH(1,INDEX(('Raw Data'!$B$2:$B$377=A43)*('Raw Data'!$E$2:$E$377=F43),0),0))</f>
        <v/>
      </c>
      <c r="H43" s="7">
        <f>F43-D43</f>
        <v/>
      </c>
      <c r="I43" s="5">
        <f>COUNTIF('Raw Data'!$B$2:$B$377,A43)</f>
        <v/>
      </c>
    </row>
    <row r="44">
      <c r="A44" s="5" t="n">
        <v>42641</v>
      </c>
      <c r="B44" s="6">
        <f>INDEX('Raw Data'!$D$2:$D$377,MATCH(A44,'Raw Data'!$B$2:$B$377,0))</f>
        <v/>
      </c>
      <c r="C44" s="5">
        <f>INDEX('Raw Data'!$C$2:$C$377,MATCH(A44,'Raw Data'!$B$2:$B$377,0))</f>
        <v/>
      </c>
      <c r="D44" s="7">
        <f>_xlfn.MINIFS('Raw Data'!$E$2:$E$377,'Raw Data'!$B$2:$B$377,A44)</f>
        <v/>
      </c>
      <c r="E44" s="5">
        <f>INDEX('Raw Data'!$A$2:$A$377,MATCH(1,INDEX(('Raw Data'!$B$2:$B$377=A44)*('Raw Data'!$E$2:$E$377=D44),0),0))</f>
        <v/>
      </c>
      <c r="F44" s="7">
        <f>_xlfn.MAXIFS('Raw Data'!$E$2:$E$377,'Raw Data'!$B$2:$B$377,A44)</f>
        <v/>
      </c>
      <c r="G44" s="5">
        <f>INDEX('Raw Data'!$A$2:$A$377,MATCH(1,INDEX(('Raw Data'!$B$2:$B$377=A44)*('Raw Data'!$E$2:$E$377=F44),0),0))</f>
        <v/>
      </c>
      <c r="H44" s="7">
        <f>F44-D44</f>
        <v/>
      </c>
      <c r="I44" s="5">
        <f>COUNTIF('Raw Data'!$B$2:$B$377,A44)</f>
        <v/>
      </c>
    </row>
    <row r="45">
      <c r="A45" s="5" t="n">
        <v>42642</v>
      </c>
      <c r="B45" s="6">
        <f>INDEX('Raw Data'!$D$2:$D$377,MATCH(A45,'Raw Data'!$B$2:$B$377,0))</f>
        <v/>
      </c>
      <c r="C45" s="5">
        <f>INDEX('Raw Data'!$C$2:$C$377,MATCH(A45,'Raw Data'!$B$2:$B$377,0))</f>
        <v/>
      </c>
      <c r="D45" s="7">
        <f>_xlfn.MINIFS('Raw Data'!$E$2:$E$377,'Raw Data'!$B$2:$B$377,A45)</f>
        <v/>
      </c>
      <c r="E45" s="5">
        <f>INDEX('Raw Data'!$A$2:$A$377,MATCH(1,INDEX(('Raw Data'!$B$2:$B$377=A45)*('Raw Data'!$E$2:$E$377=D45),0),0))</f>
        <v/>
      </c>
      <c r="F45" s="7">
        <f>_xlfn.MAXIFS('Raw Data'!$E$2:$E$377,'Raw Data'!$B$2:$B$377,A45)</f>
        <v/>
      </c>
      <c r="G45" s="5">
        <f>INDEX('Raw Data'!$A$2:$A$377,MATCH(1,INDEX(('Raw Data'!$B$2:$B$377=A45)*('Raw Data'!$E$2:$E$377=F45),0),0))</f>
        <v/>
      </c>
      <c r="H45" s="7">
        <f>F45-D45</f>
        <v/>
      </c>
      <c r="I45" s="5">
        <f>COUNTIF('Raw Data'!$B$2:$B$377,A45)</f>
        <v/>
      </c>
    </row>
    <row r="46">
      <c r="A46" s="5" t="n">
        <v>42644</v>
      </c>
      <c r="B46" s="6">
        <f>INDEX('Raw Data'!$D$2:$D$377,MATCH(A46,'Raw Data'!$B$2:$B$377,0))</f>
        <v/>
      </c>
      <c r="C46" s="5">
        <f>INDEX('Raw Data'!$C$2:$C$377,MATCH(A46,'Raw Data'!$B$2:$B$377,0))</f>
        <v/>
      </c>
      <c r="D46" s="7">
        <f>_xlfn.MINIFS('Raw Data'!$E$2:$E$377,'Raw Data'!$B$2:$B$377,A46)</f>
        <v/>
      </c>
      <c r="E46" s="5">
        <f>INDEX('Raw Data'!$A$2:$A$377,MATCH(1,INDEX(('Raw Data'!$B$2:$B$377=A46)*('Raw Data'!$E$2:$E$377=D46),0),0))</f>
        <v/>
      </c>
      <c r="F46" s="7">
        <f>_xlfn.MAXIFS('Raw Data'!$E$2:$E$377,'Raw Data'!$B$2:$B$377,A46)</f>
        <v/>
      </c>
      <c r="G46" s="5">
        <f>INDEX('Raw Data'!$A$2:$A$377,MATCH(1,INDEX(('Raw Data'!$B$2:$B$377=A46)*('Raw Data'!$E$2:$E$377=F46),0),0))</f>
        <v/>
      </c>
      <c r="H46" s="7">
        <f>F46-D46</f>
        <v/>
      </c>
      <c r="I46" s="5">
        <f>COUNTIF('Raw Data'!$B$2:$B$377,A46)</f>
        <v/>
      </c>
    </row>
    <row r="47">
      <c r="A47" s="5" t="n">
        <v>42646</v>
      </c>
      <c r="B47" s="6">
        <f>INDEX('Raw Data'!$D$2:$D$377,MATCH(A47,'Raw Data'!$B$2:$B$377,0))</f>
        <v/>
      </c>
      <c r="C47" s="5">
        <f>INDEX('Raw Data'!$C$2:$C$377,MATCH(A47,'Raw Data'!$B$2:$B$377,0))</f>
        <v/>
      </c>
      <c r="D47" s="7">
        <f>_xlfn.MINIFS('Raw Data'!$E$2:$E$377,'Raw Data'!$B$2:$B$377,A47)</f>
        <v/>
      </c>
      <c r="E47" s="5">
        <f>INDEX('Raw Data'!$A$2:$A$377,MATCH(1,INDEX(('Raw Data'!$B$2:$B$377=A47)*('Raw Data'!$E$2:$E$377=D47),0),0))</f>
        <v/>
      </c>
      <c r="F47" s="7">
        <f>_xlfn.MAXIFS('Raw Data'!$E$2:$E$377,'Raw Data'!$B$2:$B$377,A47)</f>
        <v/>
      </c>
      <c r="G47" s="5">
        <f>INDEX('Raw Data'!$A$2:$A$377,MATCH(1,INDEX(('Raw Data'!$B$2:$B$377=A47)*('Raw Data'!$E$2:$E$377=F47),0),0))</f>
        <v/>
      </c>
      <c r="H47" s="7">
        <f>F47-D47</f>
        <v/>
      </c>
      <c r="I47" s="5">
        <f>COUNTIF('Raw Data'!$B$2:$B$377,A47)</f>
        <v/>
      </c>
    </row>
    <row r="48">
      <c r="A48" s="5" t="n">
        <v>42647</v>
      </c>
      <c r="B48" s="6">
        <f>INDEX('Raw Data'!$D$2:$D$377,MATCH(A48,'Raw Data'!$B$2:$B$377,0))</f>
        <v/>
      </c>
      <c r="C48" s="5">
        <f>INDEX('Raw Data'!$C$2:$C$377,MATCH(A48,'Raw Data'!$B$2:$B$377,0))</f>
        <v/>
      </c>
      <c r="D48" s="7">
        <f>_xlfn.MINIFS('Raw Data'!$E$2:$E$377,'Raw Data'!$B$2:$B$377,A48)</f>
        <v/>
      </c>
      <c r="E48" s="5">
        <f>INDEX('Raw Data'!$A$2:$A$377,MATCH(1,INDEX(('Raw Data'!$B$2:$B$377=A48)*('Raw Data'!$E$2:$E$377=D48),0),0))</f>
        <v/>
      </c>
      <c r="F48" s="7">
        <f>_xlfn.MAXIFS('Raw Data'!$E$2:$E$377,'Raw Data'!$B$2:$B$377,A48)</f>
        <v/>
      </c>
      <c r="G48" s="5">
        <f>INDEX('Raw Data'!$A$2:$A$377,MATCH(1,INDEX(('Raw Data'!$B$2:$B$377=A48)*('Raw Data'!$E$2:$E$377=F48),0),0))</f>
        <v/>
      </c>
      <c r="H48" s="7">
        <f>F48-D48</f>
        <v/>
      </c>
      <c r="I48" s="5">
        <f>COUNTIF('Raw Data'!$B$2:$B$377,A48)</f>
        <v/>
      </c>
    </row>
    <row r="49">
      <c r="A49" s="5" t="n">
        <v>42648</v>
      </c>
      <c r="B49" s="6">
        <f>INDEX('Raw Data'!$D$2:$D$377,MATCH(A49,'Raw Data'!$B$2:$B$377,0))</f>
        <v/>
      </c>
      <c r="C49" s="5">
        <f>INDEX('Raw Data'!$C$2:$C$377,MATCH(A49,'Raw Data'!$B$2:$B$377,0))</f>
        <v/>
      </c>
      <c r="D49" s="7">
        <f>_xlfn.MINIFS('Raw Data'!$E$2:$E$377,'Raw Data'!$B$2:$B$377,A49)</f>
        <v/>
      </c>
      <c r="E49" s="5">
        <f>INDEX('Raw Data'!$A$2:$A$377,MATCH(1,INDEX(('Raw Data'!$B$2:$B$377=A49)*('Raw Data'!$E$2:$E$377=D49),0),0))</f>
        <v/>
      </c>
      <c r="F49" s="7">
        <f>_xlfn.MAXIFS('Raw Data'!$E$2:$E$377,'Raw Data'!$B$2:$B$377,A49)</f>
        <v/>
      </c>
      <c r="G49" s="5">
        <f>INDEX('Raw Data'!$A$2:$A$377,MATCH(1,INDEX(('Raw Data'!$B$2:$B$377=A49)*('Raw Data'!$E$2:$E$377=F49),0),0))</f>
        <v/>
      </c>
      <c r="H49" s="7">
        <f>F49-D49</f>
        <v/>
      </c>
      <c r="I49" s="5">
        <f>COUNTIF('Raw Data'!$B$2:$B$377,A49)</f>
        <v/>
      </c>
    </row>
    <row r="50">
      <c r="A50" s="5" t="n">
        <v>42649</v>
      </c>
      <c r="B50" s="6">
        <f>INDEX('Raw Data'!$D$2:$D$377,MATCH(A50,'Raw Data'!$B$2:$B$377,0))</f>
        <v/>
      </c>
      <c r="C50" s="5">
        <f>INDEX('Raw Data'!$C$2:$C$377,MATCH(A50,'Raw Data'!$B$2:$B$377,0))</f>
        <v/>
      </c>
      <c r="D50" s="7">
        <f>_xlfn.MINIFS('Raw Data'!$E$2:$E$377,'Raw Data'!$B$2:$B$377,A50)</f>
        <v/>
      </c>
      <c r="E50" s="5">
        <f>INDEX('Raw Data'!$A$2:$A$377,MATCH(1,INDEX(('Raw Data'!$B$2:$B$377=A50)*('Raw Data'!$E$2:$E$377=D50),0),0))</f>
        <v/>
      </c>
      <c r="F50" s="7">
        <f>_xlfn.MAXIFS('Raw Data'!$E$2:$E$377,'Raw Data'!$B$2:$B$377,A50)</f>
        <v/>
      </c>
      <c r="G50" s="5">
        <f>INDEX('Raw Data'!$A$2:$A$377,MATCH(1,INDEX(('Raw Data'!$B$2:$B$377=A50)*('Raw Data'!$E$2:$E$377=F50),0),0))</f>
        <v/>
      </c>
      <c r="H50" s="7">
        <f>F50-D50</f>
        <v/>
      </c>
      <c r="I50" s="5">
        <f>COUNTIF('Raw Data'!$B$2:$B$377,A50)</f>
        <v/>
      </c>
    </row>
    <row r="51">
      <c r="A51" s="5" t="n">
        <v>42650</v>
      </c>
      <c r="B51" s="6">
        <f>INDEX('Raw Data'!$D$2:$D$377,MATCH(A51,'Raw Data'!$B$2:$B$377,0))</f>
        <v/>
      </c>
      <c r="C51" s="5">
        <f>INDEX('Raw Data'!$C$2:$C$377,MATCH(A51,'Raw Data'!$B$2:$B$377,0))</f>
        <v/>
      </c>
      <c r="D51" s="7">
        <f>_xlfn.MINIFS('Raw Data'!$E$2:$E$377,'Raw Data'!$B$2:$B$377,A51)</f>
        <v/>
      </c>
      <c r="E51" s="5">
        <f>INDEX('Raw Data'!$A$2:$A$377,MATCH(1,INDEX(('Raw Data'!$B$2:$B$377=A51)*('Raw Data'!$E$2:$E$377=D51),0),0))</f>
        <v/>
      </c>
      <c r="F51" s="7">
        <f>_xlfn.MAXIFS('Raw Data'!$E$2:$E$377,'Raw Data'!$B$2:$B$377,A51)</f>
        <v/>
      </c>
      <c r="G51" s="5">
        <f>INDEX('Raw Data'!$A$2:$A$377,MATCH(1,INDEX(('Raw Data'!$B$2:$B$377=A51)*('Raw Data'!$E$2:$E$377=F51),0),0))</f>
        <v/>
      </c>
      <c r="H51" s="7">
        <f>F51-D51</f>
        <v/>
      </c>
      <c r="I51" s="5">
        <f>COUNTIF('Raw Data'!$B$2:$B$377,A51)</f>
        <v/>
      </c>
    </row>
    <row r="52">
      <c r="A52" s="5" t="n">
        <v>42651</v>
      </c>
      <c r="B52" s="6">
        <f>INDEX('Raw Data'!$D$2:$D$377,MATCH(A52,'Raw Data'!$B$2:$B$377,0))</f>
        <v/>
      </c>
      <c r="C52" s="5">
        <f>INDEX('Raw Data'!$C$2:$C$377,MATCH(A52,'Raw Data'!$B$2:$B$377,0))</f>
        <v/>
      </c>
      <c r="D52" s="7">
        <f>_xlfn.MINIFS('Raw Data'!$E$2:$E$377,'Raw Data'!$B$2:$B$377,A52)</f>
        <v/>
      </c>
      <c r="E52" s="5">
        <f>INDEX('Raw Data'!$A$2:$A$377,MATCH(1,INDEX(('Raw Data'!$B$2:$B$377=A52)*('Raw Data'!$E$2:$E$377=D52),0),0))</f>
        <v/>
      </c>
      <c r="F52" s="7">
        <f>_xlfn.MAXIFS('Raw Data'!$E$2:$E$377,'Raw Data'!$B$2:$B$377,A52)</f>
        <v/>
      </c>
      <c r="G52" s="5">
        <f>INDEX('Raw Data'!$A$2:$A$377,MATCH(1,INDEX(('Raw Data'!$B$2:$B$377=A52)*('Raw Data'!$E$2:$E$377=F52),0),0))</f>
        <v/>
      </c>
      <c r="H52" s="7">
        <f>F52-D52</f>
        <v/>
      </c>
      <c r="I52" s="5">
        <f>COUNTIF('Raw Data'!$B$2:$B$377,A52)</f>
        <v/>
      </c>
    </row>
    <row r="53">
      <c r="A53" s="5" t="n">
        <v>42652</v>
      </c>
      <c r="B53" s="6">
        <f>INDEX('Raw Data'!$D$2:$D$377,MATCH(A53,'Raw Data'!$B$2:$B$377,0))</f>
        <v/>
      </c>
      <c r="C53" s="5">
        <f>INDEX('Raw Data'!$C$2:$C$377,MATCH(A53,'Raw Data'!$B$2:$B$377,0))</f>
        <v/>
      </c>
      <c r="D53" s="7">
        <f>_xlfn.MINIFS('Raw Data'!$E$2:$E$377,'Raw Data'!$B$2:$B$377,A53)</f>
        <v/>
      </c>
      <c r="E53" s="5">
        <f>INDEX('Raw Data'!$A$2:$A$377,MATCH(1,INDEX(('Raw Data'!$B$2:$B$377=A53)*('Raw Data'!$E$2:$E$377=D53),0),0))</f>
        <v/>
      </c>
      <c r="F53" s="7">
        <f>_xlfn.MAXIFS('Raw Data'!$E$2:$E$377,'Raw Data'!$B$2:$B$377,A53)</f>
        <v/>
      </c>
      <c r="G53" s="5">
        <f>INDEX('Raw Data'!$A$2:$A$377,MATCH(1,INDEX(('Raw Data'!$B$2:$B$377=A53)*('Raw Data'!$E$2:$E$377=F53),0),0))</f>
        <v/>
      </c>
      <c r="H53" s="7">
        <f>F53-D53</f>
        <v/>
      </c>
      <c r="I53" s="5">
        <f>COUNTIF('Raw Data'!$B$2:$B$377,A53)</f>
        <v/>
      </c>
    </row>
    <row r="54">
      <c r="A54" s="5" t="n">
        <v>42653</v>
      </c>
      <c r="B54" s="6">
        <f>INDEX('Raw Data'!$D$2:$D$377,MATCH(A54,'Raw Data'!$B$2:$B$377,0))</f>
        <v/>
      </c>
      <c r="C54" s="5">
        <f>INDEX('Raw Data'!$C$2:$C$377,MATCH(A54,'Raw Data'!$B$2:$B$377,0))</f>
        <v/>
      </c>
      <c r="D54" s="7">
        <f>_xlfn.MINIFS('Raw Data'!$E$2:$E$377,'Raw Data'!$B$2:$B$377,A54)</f>
        <v/>
      </c>
      <c r="E54" s="5">
        <f>INDEX('Raw Data'!$A$2:$A$377,MATCH(1,INDEX(('Raw Data'!$B$2:$B$377=A54)*('Raw Data'!$E$2:$E$377=D54),0),0))</f>
        <v/>
      </c>
      <c r="F54" s="7">
        <f>_xlfn.MAXIFS('Raw Data'!$E$2:$E$377,'Raw Data'!$B$2:$B$377,A54)</f>
        <v/>
      </c>
      <c r="G54" s="5">
        <f>INDEX('Raw Data'!$A$2:$A$377,MATCH(1,INDEX(('Raw Data'!$B$2:$B$377=A54)*('Raw Data'!$E$2:$E$377=F54),0),0))</f>
        <v/>
      </c>
      <c r="H54" s="7">
        <f>F54-D54</f>
        <v/>
      </c>
      <c r="I54" s="5">
        <f>COUNTIF('Raw Data'!$B$2:$B$377,A54)</f>
        <v/>
      </c>
    </row>
    <row r="55">
      <c r="A55" s="5" t="n">
        <v>42654</v>
      </c>
      <c r="B55" s="6">
        <f>INDEX('Raw Data'!$D$2:$D$377,MATCH(A55,'Raw Data'!$B$2:$B$377,0))</f>
        <v/>
      </c>
      <c r="C55" s="5">
        <f>INDEX('Raw Data'!$C$2:$C$377,MATCH(A55,'Raw Data'!$B$2:$B$377,0))</f>
        <v/>
      </c>
      <c r="D55" s="7">
        <f>_xlfn.MINIFS('Raw Data'!$E$2:$E$377,'Raw Data'!$B$2:$B$377,A55)</f>
        <v/>
      </c>
      <c r="E55" s="5">
        <f>INDEX('Raw Data'!$A$2:$A$377,MATCH(1,INDEX(('Raw Data'!$B$2:$B$377=A55)*('Raw Data'!$E$2:$E$377=D55),0),0))</f>
        <v/>
      </c>
      <c r="F55" s="7">
        <f>_xlfn.MAXIFS('Raw Data'!$E$2:$E$377,'Raw Data'!$B$2:$B$377,A55)</f>
        <v/>
      </c>
      <c r="G55" s="5">
        <f>INDEX('Raw Data'!$A$2:$A$377,MATCH(1,INDEX(('Raw Data'!$B$2:$B$377=A55)*('Raw Data'!$E$2:$E$377=F55),0),0))</f>
        <v/>
      </c>
      <c r="H55" s="7">
        <f>F55-D55</f>
        <v/>
      </c>
      <c r="I55" s="5">
        <f>COUNTIF('Raw Data'!$B$2:$B$377,A55)</f>
        <v/>
      </c>
    </row>
    <row r="56">
      <c r="A56" s="5" t="n">
        <v>42658</v>
      </c>
      <c r="B56" s="6">
        <f>INDEX('Raw Data'!$D$2:$D$377,MATCH(A56,'Raw Data'!$B$2:$B$377,0))</f>
        <v/>
      </c>
      <c r="C56" s="5">
        <f>INDEX('Raw Data'!$C$2:$C$377,MATCH(A56,'Raw Data'!$B$2:$B$377,0))</f>
        <v/>
      </c>
      <c r="D56" s="7">
        <f>_xlfn.MINIFS('Raw Data'!$E$2:$E$377,'Raw Data'!$B$2:$B$377,A56)</f>
        <v/>
      </c>
      <c r="E56" s="5">
        <f>INDEX('Raw Data'!$A$2:$A$377,MATCH(1,INDEX(('Raw Data'!$B$2:$B$377=A56)*('Raw Data'!$E$2:$E$377=D56),0),0))</f>
        <v/>
      </c>
      <c r="F56" s="7">
        <f>_xlfn.MAXIFS('Raw Data'!$E$2:$E$377,'Raw Data'!$B$2:$B$377,A56)</f>
        <v/>
      </c>
      <c r="G56" s="5">
        <f>INDEX('Raw Data'!$A$2:$A$377,MATCH(1,INDEX(('Raw Data'!$B$2:$B$377=A56)*('Raw Data'!$E$2:$E$377=F56),0),0))</f>
        <v/>
      </c>
      <c r="H56" s="7">
        <f>F56-D56</f>
        <v/>
      </c>
      <c r="I56" s="5">
        <f>COUNTIF('Raw Data'!$B$2:$B$377,A56)</f>
        <v/>
      </c>
    </row>
    <row r="57">
      <c r="A57" s="5" t="n">
        <v>42659</v>
      </c>
      <c r="B57" s="6">
        <f>INDEX('Raw Data'!$D$2:$D$377,MATCH(A57,'Raw Data'!$B$2:$B$377,0))</f>
        <v/>
      </c>
      <c r="C57" s="5">
        <f>INDEX('Raw Data'!$C$2:$C$377,MATCH(A57,'Raw Data'!$B$2:$B$377,0))</f>
        <v/>
      </c>
      <c r="D57" s="7">
        <f>_xlfn.MINIFS('Raw Data'!$E$2:$E$377,'Raw Data'!$B$2:$B$377,A57)</f>
        <v/>
      </c>
      <c r="E57" s="5">
        <f>INDEX('Raw Data'!$A$2:$A$377,MATCH(1,INDEX(('Raw Data'!$B$2:$B$377=A57)*('Raw Data'!$E$2:$E$377=D57),0),0))</f>
        <v/>
      </c>
      <c r="F57" s="7">
        <f>_xlfn.MAXIFS('Raw Data'!$E$2:$E$377,'Raw Data'!$B$2:$B$377,A57)</f>
        <v/>
      </c>
      <c r="G57" s="5">
        <f>INDEX('Raw Data'!$A$2:$A$377,MATCH(1,INDEX(('Raw Data'!$B$2:$B$377=A57)*('Raw Data'!$E$2:$E$377=F57),0),0))</f>
        <v/>
      </c>
      <c r="H57" s="7">
        <f>F57-D57</f>
        <v/>
      </c>
      <c r="I57" s="5">
        <f>COUNTIF('Raw Data'!$B$2:$B$377,A57)</f>
        <v/>
      </c>
    </row>
    <row r="58">
      <c r="A58" s="5" t="n">
        <v>42661</v>
      </c>
      <c r="B58" s="6">
        <f>INDEX('Raw Data'!$D$2:$D$377,MATCH(A58,'Raw Data'!$B$2:$B$377,0))</f>
        <v/>
      </c>
      <c r="C58" s="5">
        <f>INDEX('Raw Data'!$C$2:$C$377,MATCH(A58,'Raw Data'!$B$2:$B$377,0))</f>
        <v/>
      </c>
      <c r="D58" s="7">
        <f>_xlfn.MINIFS('Raw Data'!$E$2:$E$377,'Raw Data'!$B$2:$B$377,A58)</f>
        <v/>
      </c>
      <c r="E58" s="5">
        <f>INDEX('Raw Data'!$A$2:$A$377,MATCH(1,INDEX(('Raw Data'!$B$2:$B$377=A58)*('Raw Data'!$E$2:$E$377=D58),0),0))</f>
        <v/>
      </c>
      <c r="F58" s="7">
        <f>_xlfn.MAXIFS('Raw Data'!$E$2:$E$377,'Raw Data'!$B$2:$B$377,A58)</f>
        <v/>
      </c>
      <c r="G58" s="5">
        <f>INDEX('Raw Data'!$A$2:$A$377,MATCH(1,INDEX(('Raw Data'!$B$2:$B$377=A58)*('Raw Data'!$E$2:$E$377=F58),0),0))</f>
        <v/>
      </c>
      <c r="H58" s="7">
        <f>F58-D58</f>
        <v/>
      </c>
      <c r="I58" s="5">
        <f>COUNTIF('Raw Data'!$B$2:$B$377,A58)</f>
        <v/>
      </c>
    </row>
    <row r="59">
      <c r="A59" s="5" t="n">
        <v>42662</v>
      </c>
      <c r="B59" s="6">
        <f>INDEX('Raw Data'!$D$2:$D$377,MATCH(A59,'Raw Data'!$B$2:$B$377,0))</f>
        <v/>
      </c>
      <c r="C59" s="5">
        <f>INDEX('Raw Data'!$C$2:$C$377,MATCH(A59,'Raw Data'!$B$2:$B$377,0))</f>
        <v/>
      </c>
      <c r="D59" s="7">
        <f>_xlfn.MINIFS('Raw Data'!$E$2:$E$377,'Raw Data'!$B$2:$B$377,A59)</f>
        <v/>
      </c>
      <c r="E59" s="5">
        <f>INDEX('Raw Data'!$A$2:$A$377,MATCH(1,INDEX(('Raw Data'!$B$2:$B$377=A59)*('Raw Data'!$E$2:$E$377=D59),0),0))</f>
        <v/>
      </c>
      <c r="F59" s="7">
        <f>_xlfn.MAXIFS('Raw Data'!$E$2:$E$377,'Raw Data'!$B$2:$B$377,A59)</f>
        <v/>
      </c>
      <c r="G59" s="5">
        <f>INDEX('Raw Data'!$A$2:$A$377,MATCH(1,INDEX(('Raw Data'!$B$2:$B$377=A59)*('Raw Data'!$E$2:$E$377=F59),0),0))</f>
        <v/>
      </c>
      <c r="H59" s="7">
        <f>F59-D59</f>
        <v/>
      </c>
      <c r="I59" s="5">
        <f>COUNTIF('Raw Data'!$B$2:$B$377,A59)</f>
        <v/>
      </c>
    </row>
    <row r="60">
      <c r="A60" s="5" t="n">
        <v>42663</v>
      </c>
      <c r="B60" s="6">
        <f>INDEX('Raw Data'!$D$2:$D$377,MATCH(A60,'Raw Data'!$B$2:$B$377,0))</f>
        <v/>
      </c>
      <c r="C60" s="5">
        <f>INDEX('Raw Data'!$C$2:$C$377,MATCH(A60,'Raw Data'!$B$2:$B$377,0))</f>
        <v/>
      </c>
      <c r="D60" s="7">
        <f>_xlfn.MINIFS('Raw Data'!$E$2:$E$377,'Raw Data'!$B$2:$B$377,A60)</f>
        <v/>
      </c>
      <c r="E60" s="5">
        <f>INDEX('Raw Data'!$A$2:$A$377,MATCH(1,INDEX(('Raw Data'!$B$2:$B$377=A60)*('Raw Data'!$E$2:$E$377=D60),0),0))</f>
        <v/>
      </c>
      <c r="F60" s="7">
        <f>_xlfn.MAXIFS('Raw Data'!$E$2:$E$377,'Raw Data'!$B$2:$B$377,A60)</f>
        <v/>
      </c>
      <c r="G60" s="5">
        <f>INDEX('Raw Data'!$A$2:$A$377,MATCH(1,INDEX(('Raw Data'!$B$2:$B$377=A60)*('Raw Data'!$E$2:$E$377=F60),0),0))</f>
        <v/>
      </c>
      <c r="H60" s="7">
        <f>F60-D60</f>
        <v/>
      </c>
      <c r="I60" s="5">
        <f>COUNTIF('Raw Data'!$B$2:$B$377,A60)</f>
        <v/>
      </c>
    </row>
    <row r="61">
      <c r="A61" s="5" t="n">
        <v>42664</v>
      </c>
      <c r="B61" s="6">
        <f>INDEX('Raw Data'!$D$2:$D$377,MATCH(A61,'Raw Data'!$B$2:$B$377,0))</f>
        <v/>
      </c>
      <c r="C61" s="5">
        <f>INDEX('Raw Data'!$C$2:$C$377,MATCH(A61,'Raw Data'!$B$2:$B$377,0))</f>
        <v/>
      </c>
      <c r="D61" s="7">
        <f>_xlfn.MINIFS('Raw Data'!$E$2:$E$377,'Raw Data'!$B$2:$B$377,A61)</f>
        <v/>
      </c>
      <c r="E61" s="5">
        <f>INDEX('Raw Data'!$A$2:$A$377,MATCH(1,INDEX(('Raw Data'!$B$2:$B$377=A61)*('Raw Data'!$E$2:$E$377=D61),0),0))</f>
        <v/>
      </c>
      <c r="F61" s="7">
        <f>_xlfn.MAXIFS('Raw Data'!$E$2:$E$377,'Raw Data'!$B$2:$B$377,A61)</f>
        <v/>
      </c>
      <c r="G61" s="5">
        <f>INDEX('Raw Data'!$A$2:$A$377,MATCH(1,INDEX(('Raw Data'!$B$2:$B$377=A61)*('Raw Data'!$E$2:$E$377=F61),0),0))</f>
        <v/>
      </c>
      <c r="H61" s="7">
        <f>F61-D61</f>
        <v/>
      </c>
      <c r="I61" s="5">
        <f>COUNTIF('Raw Data'!$B$2:$B$377,A61)</f>
        <v/>
      </c>
    </row>
    <row r="62">
      <c r="A62" s="5" t="n">
        <v>42665</v>
      </c>
      <c r="B62" s="6">
        <f>INDEX('Raw Data'!$D$2:$D$377,MATCH(A62,'Raw Data'!$B$2:$B$377,0))</f>
        <v/>
      </c>
      <c r="C62" s="5">
        <f>INDEX('Raw Data'!$C$2:$C$377,MATCH(A62,'Raw Data'!$B$2:$B$377,0))</f>
        <v/>
      </c>
      <c r="D62" s="7">
        <f>_xlfn.MINIFS('Raw Data'!$E$2:$E$377,'Raw Data'!$B$2:$B$377,A62)</f>
        <v/>
      </c>
      <c r="E62" s="5">
        <f>INDEX('Raw Data'!$A$2:$A$377,MATCH(1,INDEX(('Raw Data'!$B$2:$B$377=A62)*('Raw Data'!$E$2:$E$377=D62),0),0))</f>
        <v/>
      </c>
      <c r="F62" s="7">
        <f>_xlfn.MAXIFS('Raw Data'!$E$2:$E$377,'Raw Data'!$B$2:$B$377,A62)</f>
        <v/>
      </c>
      <c r="G62" s="5">
        <f>INDEX('Raw Data'!$A$2:$A$377,MATCH(1,INDEX(('Raw Data'!$B$2:$B$377=A62)*('Raw Data'!$E$2:$E$377=F62),0),0))</f>
        <v/>
      </c>
      <c r="H62" s="7">
        <f>F62-D62</f>
        <v/>
      </c>
      <c r="I62" s="5">
        <f>COUNTIF('Raw Data'!$B$2:$B$377,A62)</f>
        <v/>
      </c>
    </row>
    <row r="63">
      <c r="A63" s="5" t="n">
        <v>42666</v>
      </c>
      <c r="B63" s="6">
        <f>INDEX('Raw Data'!$D$2:$D$377,MATCH(A63,'Raw Data'!$B$2:$B$377,0))</f>
        <v/>
      </c>
      <c r="C63" s="5">
        <f>INDEX('Raw Data'!$C$2:$C$377,MATCH(A63,'Raw Data'!$B$2:$B$377,0))</f>
        <v/>
      </c>
      <c r="D63" s="7">
        <f>_xlfn.MINIFS('Raw Data'!$E$2:$E$377,'Raw Data'!$B$2:$B$377,A63)</f>
        <v/>
      </c>
      <c r="E63" s="5">
        <f>INDEX('Raw Data'!$A$2:$A$377,MATCH(1,INDEX(('Raw Data'!$B$2:$B$377=A63)*('Raw Data'!$E$2:$E$377=D63),0),0))</f>
        <v/>
      </c>
      <c r="F63" s="7">
        <f>_xlfn.MAXIFS('Raw Data'!$E$2:$E$377,'Raw Data'!$B$2:$B$377,A63)</f>
        <v/>
      </c>
      <c r="G63" s="5">
        <f>INDEX('Raw Data'!$A$2:$A$377,MATCH(1,INDEX(('Raw Data'!$B$2:$B$377=A63)*('Raw Data'!$E$2:$E$377=F63),0),0))</f>
        <v/>
      </c>
      <c r="H63" s="7">
        <f>F63-D63</f>
        <v/>
      </c>
      <c r="I63" s="5">
        <f>COUNTIF('Raw Data'!$B$2:$B$377,A63)</f>
        <v/>
      </c>
    </row>
    <row r="64">
      <c r="A64" s="5" t="n">
        <v>42668</v>
      </c>
      <c r="B64" s="6">
        <f>INDEX('Raw Data'!$D$2:$D$377,MATCH(A64,'Raw Data'!$B$2:$B$377,0))</f>
        <v/>
      </c>
      <c r="C64" s="5">
        <f>INDEX('Raw Data'!$C$2:$C$377,MATCH(A64,'Raw Data'!$B$2:$B$377,0))</f>
        <v/>
      </c>
      <c r="D64" s="7">
        <f>_xlfn.MINIFS('Raw Data'!$E$2:$E$377,'Raw Data'!$B$2:$B$377,A64)</f>
        <v/>
      </c>
      <c r="E64" s="5">
        <f>INDEX('Raw Data'!$A$2:$A$377,MATCH(1,INDEX(('Raw Data'!$B$2:$B$377=A64)*('Raw Data'!$E$2:$E$377=D64),0),0))</f>
        <v/>
      </c>
      <c r="F64" s="7">
        <f>_xlfn.MAXIFS('Raw Data'!$E$2:$E$377,'Raw Data'!$B$2:$B$377,A64)</f>
        <v/>
      </c>
      <c r="G64" s="5">
        <f>INDEX('Raw Data'!$A$2:$A$377,MATCH(1,INDEX(('Raw Data'!$B$2:$B$377=A64)*('Raw Data'!$E$2:$E$377=F64),0),0))</f>
        <v/>
      </c>
      <c r="H64" s="7">
        <f>F64-D64</f>
        <v/>
      </c>
      <c r="I64" s="5">
        <f>COUNTIF('Raw Data'!$B$2:$B$377,A64)</f>
        <v/>
      </c>
    </row>
    <row r="65">
      <c r="A65" s="5" t="n">
        <v>42669</v>
      </c>
      <c r="B65" s="6">
        <f>INDEX('Raw Data'!$D$2:$D$377,MATCH(A65,'Raw Data'!$B$2:$B$377,0))</f>
        <v/>
      </c>
      <c r="C65" s="5">
        <f>INDEX('Raw Data'!$C$2:$C$377,MATCH(A65,'Raw Data'!$B$2:$B$377,0))</f>
        <v/>
      </c>
      <c r="D65" s="7">
        <f>_xlfn.MINIFS('Raw Data'!$E$2:$E$377,'Raw Data'!$B$2:$B$377,A65)</f>
        <v/>
      </c>
      <c r="E65" s="5">
        <f>INDEX('Raw Data'!$A$2:$A$377,MATCH(1,INDEX(('Raw Data'!$B$2:$B$377=A65)*('Raw Data'!$E$2:$E$377=D65),0),0))</f>
        <v/>
      </c>
      <c r="F65" s="7">
        <f>_xlfn.MAXIFS('Raw Data'!$E$2:$E$377,'Raw Data'!$B$2:$B$377,A65)</f>
        <v/>
      </c>
      <c r="G65" s="5">
        <f>INDEX('Raw Data'!$A$2:$A$377,MATCH(1,INDEX(('Raw Data'!$B$2:$B$377=A65)*('Raw Data'!$E$2:$E$377=F65),0),0))</f>
        <v/>
      </c>
      <c r="H65" s="7">
        <f>F65-D65</f>
        <v/>
      </c>
      <c r="I65" s="5">
        <f>COUNTIF('Raw Data'!$B$2:$B$377,A65)</f>
        <v/>
      </c>
    </row>
    <row r="66">
      <c r="A66" s="5" t="n">
        <v>42671</v>
      </c>
      <c r="B66" s="6">
        <f>INDEX('Raw Data'!$D$2:$D$377,MATCH(A66,'Raw Data'!$B$2:$B$377,0))</f>
        <v/>
      </c>
      <c r="C66" s="5">
        <f>INDEX('Raw Data'!$C$2:$C$377,MATCH(A66,'Raw Data'!$B$2:$B$377,0))</f>
        <v/>
      </c>
      <c r="D66" s="7">
        <f>_xlfn.MINIFS('Raw Data'!$E$2:$E$377,'Raw Data'!$B$2:$B$377,A66)</f>
        <v/>
      </c>
      <c r="E66" s="5">
        <f>INDEX('Raw Data'!$A$2:$A$377,MATCH(1,INDEX(('Raw Data'!$B$2:$B$377=A66)*('Raw Data'!$E$2:$E$377=D66),0),0))</f>
        <v/>
      </c>
      <c r="F66" s="7">
        <f>_xlfn.MAXIFS('Raw Data'!$E$2:$E$377,'Raw Data'!$B$2:$B$377,A66)</f>
        <v/>
      </c>
      <c r="G66" s="5">
        <f>INDEX('Raw Data'!$A$2:$A$377,MATCH(1,INDEX(('Raw Data'!$B$2:$B$377=A66)*('Raw Data'!$E$2:$E$377=F66),0),0))</f>
        <v/>
      </c>
      <c r="H66" s="7">
        <f>F66-D66</f>
        <v/>
      </c>
      <c r="I66" s="5">
        <f>COUNTIF('Raw Data'!$B$2:$B$377,A66)</f>
        <v/>
      </c>
    </row>
    <row r="67">
      <c r="A67" s="5" t="n">
        <v>42672</v>
      </c>
      <c r="B67" s="6">
        <f>INDEX('Raw Data'!$D$2:$D$377,MATCH(A67,'Raw Data'!$B$2:$B$377,0))</f>
        <v/>
      </c>
      <c r="C67" s="5">
        <f>INDEX('Raw Data'!$C$2:$C$377,MATCH(A67,'Raw Data'!$B$2:$B$377,0))</f>
        <v/>
      </c>
      <c r="D67" s="7">
        <f>_xlfn.MINIFS('Raw Data'!$E$2:$E$377,'Raw Data'!$B$2:$B$377,A67)</f>
        <v/>
      </c>
      <c r="E67" s="5">
        <f>INDEX('Raw Data'!$A$2:$A$377,MATCH(1,INDEX(('Raw Data'!$B$2:$B$377=A67)*('Raw Data'!$E$2:$E$377=D67),0),0))</f>
        <v/>
      </c>
      <c r="F67" s="7">
        <f>_xlfn.MAXIFS('Raw Data'!$E$2:$E$377,'Raw Data'!$B$2:$B$377,A67)</f>
        <v/>
      </c>
      <c r="G67" s="5">
        <f>INDEX('Raw Data'!$A$2:$A$377,MATCH(1,INDEX(('Raw Data'!$B$2:$B$377=A67)*('Raw Data'!$E$2:$E$377=F67),0),0))</f>
        <v/>
      </c>
      <c r="H67" s="7">
        <f>F67-D67</f>
        <v/>
      </c>
      <c r="I67" s="5">
        <f>COUNTIF('Raw Data'!$B$2:$B$377,A67)</f>
        <v/>
      </c>
    </row>
    <row r="68">
      <c r="A68" s="5" t="n">
        <v>42673</v>
      </c>
      <c r="B68" s="6">
        <f>INDEX('Raw Data'!$D$2:$D$377,MATCH(A68,'Raw Data'!$B$2:$B$377,0))</f>
        <v/>
      </c>
      <c r="C68" s="5">
        <f>INDEX('Raw Data'!$C$2:$C$377,MATCH(A68,'Raw Data'!$B$2:$B$377,0))</f>
        <v/>
      </c>
      <c r="D68" s="7">
        <f>_xlfn.MINIFS('Raw Data'!$E$2:$E$377,'Raw Data'!$B$2:$B$377,A68)</f>
        <v/>
      </c>
      <c r="E68" s="5">
        <f>INDEX('Raw Data'!$A$2:$A$377,MATCH(1,INDEX(('Raw Data'!$B$2:$B$377=A68)*('Raw Data'!$E$2:$E$377=D68),0),0))</f>
        <v/>
      </c>
      <c r="F68" s="7">
        <f>_xlfn.MAXIFS('Raw Data'!$E$2:$E$377,'Raw Data'!$B$2:$B$377,A68)</f>
        <v/>
      </c>
      <c r="G68" s="5">
        <f>INDEX('Raw Data'!$A$2:$A$377,MATCH(1,INDEX(('Raw Data'!$B$2:$B$377=A68)*('Raw Data'!$E$2:$E$377=F68),0),0))</f>
        <v/>
      </c>
      <c r="H68" s="7">
        <f>F68-D68</f>
        <v/>
      </c>
      <c r="I68" s="5">
        <f>COUNTIF('Raw Data'!$B$2:$B$377,A68)</f>
        <v/>
      </c>
    </row>
    <row r="69">
      <c r="A69" s="5" t="n">
        <v>42674</v>
      </c>
      <c r="B69" s="6">
        <f>INDEX('Raw Data'!$D$2:$D$377,MATCH(A69,'Raw Data'!$B$2:$B$377,0))</f>
        <v/>
      </c>
      <c r="C69" s="5">
        <f>INDEX('Raw Data'!$C$2:$C$377,MATCH(A69,'Raw Data'!$B$2:$B$377,0))</f>
        <v/>
      </c>
      <c r="D69" s="7">
        <f>_xlfn.MINIFS('Raw Data'!$E$2:$E$377,'Raw Data'!$B$2:$B$377,A69)</f>
        <v/>
      </c>
      <c r="E69" s="5">
        <f>INDEX('Raw Data'!$A$2:$A$377,MATCH(1,INDEX(('Raw Data'!$B$2:$B$377=A69)*('Raw Data'!$E$2:$E$377=D69),0),0))</f>
        <v/>
      </c>
      <c r="F69" s="7">
        <f>_xlfn.MAXIFS('Raw Data'!$E$2:$E$377,'Raw Data'!$B$2:$B$377,A69)</f>
        <v/>
      </c>
      <c r="G69" s="5">
        <f>INDEX('Raw Data'!$A$2:$A$377,MATCH(1,INDEX(('Raw Data'!$B$2:$B$377=A69)*('Raw Data'!$E$2:$E$377=F69),0),0))</f>
        <v/>
      </c>
      <c r="H69" s="7">
        <f>F69-D69</f>
        <v/>
      </c>
      <c r="I69" s="5">
        <f>COUNTIF('Raw Data'!$B$2:$B$377,A69)</f>
        <v/>
      </c>
    </row>
    <row r="70">
      <c r="A70" s="5" t="n">
        <v>42675</v>
      </c>
      <c r="B70" s="6">
        <f>INDEX('Raw Data'!$D$2:$D$377,MATCH(A70,'Raw Data'!$B$2:$B$377,0))</f>
        <v/>
      </c>
      <c r="C70" s="5">
        <f>INDEX('Raw Data'!$C$2:$C$377,MATCH(A70,'Raw Data'!$B$2:$B$377,0))</f>
        <v/>
      </c>
      <c r="D70" s="7">
        <f>_xlfn.MINIFS('Raw Data'!$E$2:$E$377,'Raw Data'!$B$2:$B$377,A70)</f>
        <v/>
      </c>
      <c r="E70" s="5">
        <f>INDEX('Raw Data'!$A$2:$A$377,MATCH(1,INDEX(('Raw Data'!$B$2:$B$377=A70)*('Raw Data'!$E$2:$E$377=D70),0),0))</f>
        <v/>
      </c>
      <c r="F70" s="7">
        <f>_xlfn.MAXIFS('Raw Data'!$E$2:$E$377,'Raw Data'!$B$2:$B$377,A70)</f>
        <v/>
      </c>
      <c r="G70" s="5">
        <f>INDEX('Raw Data'!$A$2:$A$377,MATCH(1,INDEX(('Raw Data'!$B$2:$B$377=A70)*('Raw Data'!$E$2:$E$377=F70),0),0))</f>
        <v/>
      </c>
      <c r="H70" s="7">
        <f>F70-D70</f>
        <v/>
      </c>
      <c r="I70" s="5">
        <f>COUNTIF('Raw Data'!$B$2:$B$377,A70)</f>
        <v/>
      </c>
    </row>
    <row r="71">
      <c r="A71" s="5" t="n">
        <v>42676</v>
      </c>
      <c r="B71" s="6">
        <f>INDEX('Raw Data'!$D$2:$D$377,MATCH(A71,'Raw Data'!$B$2:$B$377,0))</f>
        <v/>
      </c>
      <c r="C71" s="5">
        <f>INDEX('Raw Data'!$C$2:$C$377,MATCH(A71,'Raw Data'!$B$2:$B$377,0))</f>
        <v/>
      </c>
      <c r="D71" s="7">
        <f>_xlfn.MINIFS('Raw Data'!$E$2:$E$377,'Raw Data'!$B$2:$B$377,A71)</f>
        <v/>
      </c>
      <c r="E71" s="5">
        <f>INDEX('Raw Data'!$A$2:$A$377,MATCH(1,INDEX(('Raw Data'!$B$2:$B$377=A71)*('Raw Data'!$E$2:$E$377=D71),0),0))</f>
        <v/>
      </c>
      <c r="F71" s="7">
        <f>_xlfn.MAXIFS('Raw Data'!$E$2:$E$377,'Raw Data'!$B$2:$B$377,A71)</f>
        <v/>
      </c>
      <c r="G71" s="5">
        <f>INDEX('Raw Data'!$A$2:$A$377,MATCH(1,INDEX(('Raw Data'!$B$2:$B$377=A71)*('Raw Data'!$E$2:$E$377=F71),0),0))</f>
        <v/>
      </c>
      <c r="H71" s="7">
        <f>F71-D71</f>
        <v/>
      </c>
      <c r="I71" s="5">
        <f>COUNTIF('Raw Data'!$B$2:$B$377,A71)</f>
        <v/>
      </c>
    </row>
    <row r="72">
      <c r="A72" s="5" t="n">
        <v>42677</v>
      </c>
      <c r="B72" s="6">
        <f>INDEX('Raw Data'!$D$2:$D$377,MATCH(A72,'Raw Data'!$B$2:$B$377,0))</f>
        <v/>
      </c>
      <c r="C72" s="5">
        <f>INDEX('Raw Data'!$C$2:$C$377,MATCH(A72,'Raw Data'!$B$2:$B$377,0))</f>
        <v/>
      </c>
      <c r="D72" s="7">
        <f>_xlfn.MINIFS('Raw Data'!$E$2:$E$377,'Raw Data'!$B$2:$B$377,A72)</f>
        <v/>
      </c>
      <c r="E72" s="5">
        <f>INDEX('Raw Data'!$A$2:$A$377,MATCH(1,INDEX(('Raw Data'!$B$2:$B$377=A72)*('Raw Data'!$E$2:$E$377=D72),0),0))</f>
        <v/>
      </c>
      <c r="F72" s="7">
        <f>_xlfn.MAXIFS('Raw Data'!$E$2:$E$377,'Raw Data'!$B$2:$B$377,A72)</f>
        <v/>
      </c>
      <c r="G72" s="5">
        <f>INDEX('Raw Data'!$A$2:$A$377,MATCH(1,INDEX(('Raw Data'!$B$2:$B$377=A72)*('Raw Data'!$E$2:$E$377=F72),0),0))</f>
        <v/>
      </c>
      <c r="H72" s="7">
        <f>F72-D72</f>
        <v/>
      </c>
      <c r="I72" s="5">
        <f>COUNTIF('Raw Data'!$B$2:$B$377,A72)</f>
        <v/>
      </c>
    </row>
    <row r="73">
      <c r="A73" s="5" t="n">
        <v>42678</v>
      </c>
      <c r="B73" s="6">
        <f>INDEX('Raw Data'!$D$2:$D$377,MATCH(A73,'Raw Data'!$B$2:$B$377,0))</f>
        <v/>
      </c>
      <c r="C73" s="5">
        <f>INDEX('Raw Data'!$C$2:$C$377,MATCH(A73,'Raw Data'!$B$2:$B$377,0))</f>
        <v/>
      </c>
      <c r="D73" s="7">
        <f>_xlfn.MINIFS('Raw Data'!$E$2:$E$377,'Raw Data'!$B$2:$B$377,A73)</f>
        <v/>
      </c>
      <c r="E73" s="5">
        <f>INDEX('Raw Data'!$A$2:$A$377,MATCH(1,INDEX(('Raw Data'!$B$2:$B$377=A73)*('Raw Data'!$E$2:$E$377=D73),0),0))</f>
        <v/>
      </c>
      <c r="F73" s="7">
        <f>_xlfn.MAXIFS('Raw Data'!$E$2:$E$377,'Raw Data'!$B$2:$B$377,A73)</f>
        <v/>
      </c>
      <c r="G73" s="5">
        <f>INDEX('Raw Data'!$A$2:$A$377,MATCH(1,INDEX(('Raw Data'!$B$2:$B$377=A73)*('Raw Data'!$E$2:$E$377=F73),0),0))</f>
        <v/>
      </c>
      <c r="H73" s="7">
        <f>F73-D73</f>
        <v/>
      </c>
      <c r="I73" s="5">
        <f>COUNTIF('Raw Data'!$B$2:$B$377,A73)</f>
        <v/>
      </c>
    </row>
    <row r="74">
      <c r="A74" s="5" t="n">
        <v>42679</v>
      </c>
      <c r="B74" s="6">
        <f>INDEX('Raw Data'!$D$2:$D$377,MATCH(A74,'Raw Data'!$B$2:$B$377,0))</f>
        <v/>
      </c>
      <c r="C74" s="5">
        <f>INDEX('Raw Data'!$C$2:$C$377,MATCH(A74,'Raw Data'!$B$2:$B$377,0))</f>
        <v/>
      </c>
      <c r="D74" s="7">
        <f>_xlfn.MINIFS('Raw Data'!$E$2:$E$377,'Raw Data'!$B$2:$B$377,A74)</f>
        <v/>
      </c>
      <c r="E74" s="5">
        <f>INDEX('Raw Data'!$A$2:$A$377,MATCH(1,INDEX(('Raw Data'!$B$2:$B$377=A74)*('Raw Data'!$E$2:$E$377=D74),0),0))</f>
        <v/>
      </c>
      <c r="F74" s="7">
        <f>_xlfn.MAXIFS('Raw Data'!$E$2:$E$377,'Raw Data'!$B$2:$B$377,A74)</f>
        <v/>
      </c>
      <c r="G74" s="5">
        <f>INDEX('Raw Data'!$A$2:$A$377,MATCH(1,INDEX(('Raw Data'!$B$2:$B$377=A74)*('Raw Data'!$E$2:$E$377=F74),0),0))</f>
        <v/>
      </c>
      <c r="H74" s="7">
        <f>F74-D74</f>
        <v/>
      </c>
      <c r="I74" s="5">
        <f>COUNTIF('Raw Data'!$B$2:$B$377,A74)</f>
        <v/>
      </c>
    </row>
    <row r="75">
      <c r="A75" s="5" t="n">
        <v>42680</v>
      </c>
      <c r="B75" s="6">
        <f>INDEX('Raw Data'!$D$2:$D$377,MATCH(A75,'Raw Data'!$B$2:$B$377,0))</f>
        <v/>
      </c>
      <c r="C75" s="5">
        <f>INDEX('Raw Data'!$C$2:$C$377,MATCH(A75,'Raw Data'!$B$2:$B$377,0))</f>
        <v/>
      </c>
      <c r="D75" s="7">
        <f>_xlfn.MINIFS('Raw Data'!$E$2:$E$377,'Raw Data'!$B$2:$B$377,A75)</f>
        <v/>
      </c>
      <c r="E75" s="5">
        <f>INDEX('Raw Data'!$A$2:$A$377,MATCH(1,INDEX(('Raw Data'!$B$2:$B$377=A75)*('Raw Data'!$E$2:$E$377=D75),0),0))</f>
        <v/>
      </c>
      <c r="F75" s="7">
        <f>_xlfn.MAXIFS('Raw Data'!$E$2:$E$377,'Raw Data'!$B$2:$B$377,A75)</f>
        <v/>
      </c>
      <c r="G75" s="5">
        <f>INDEX('Raw Data'!$A$2:$A$377,MATCH(1,INDEX(('Raw Data'!$B$2:$B$377=A75)*('Raw Data'!$E$2:$E$377=F75),0),0))</f>
        <v/>
      </c>
      <c r="H75" s="7">
        <f>F75-D75</f>
        <v/>
      </c>
      <c r="I75" s="5">
        <f>COUNTIF('Raw Data'!$B$2:$B$377,A75)</f>
        <v/>
      </c>
    </row>
    <row r="76">
      <c r="A76" s="5" t="n">
        <v>42681</v>
      </c>
      <c r="B76" s="6">
        <f>INDEX('Raw Data'!$D$2:$D$377,MATCH(A76,'Raw Data'!$B$2:$B$377,0))</f>
        <v/>
      </c>
      <c r="C76" s="5">
        <f>INDEX('Raw Data'!$C$2:$C$377,MATCH(A76,'Raw Data'!$B$2:$B$377,0))</f>
        <v/>
      </c>
      <c r="D76" s="7">
        <f>_xlfn.MINIFS('Raw Data'!$E$2:$E$377,'Raw Data'!$B$2:$B$377,A76)</f>
        <v/>
      </c>
      <c r="E76" s="5">
        <f>INDEX('Raw Data'!$A$2:$A$377,MATCH(1,INDEX(('Raw Data'!$B$2:$B$377=A76)*('Raw Data'!$E$2:$E$377=D76),0),0))</f>
        <v/>
      </c>
      <c r="F76" s="7">
        <f>_xlfn.MAXIFS('Raw Data'!$E$2:$E$377,'Raw Data'!$B$2:$B$377,A76)</f>
        <v/>
      </c>
      <c r="G76" s="5">
        <f>INDEX('Raw Data'!$A$2:$A$377,MATCH(1,INDEX(('Raw Data'!$B$2:$B$377=A76)*('Raw Data'!$E$2:$E$377=F76),0),0))</f>
        <v/>
      </c>
      <c r="H76" s="7">
        <f>F76-D76</f>
        <v/>
      </c>
      <c r="I76" s="5">
        <f>COUNTIF('Raw Data'!$B$2:$B$377,A76)</f>
        <v/>
      </c>
    </row>
    <row r="77">
      <c r="A77" s="5" t="n">
        <v>42682</v>
      </c>
      <c r="B77" s="6">
        <f>INDEX('Raw Data'!$D$2:$D$377,MATCH(A77,'Raw Data'!$B$2:$B$377,0))</f>
        <v/>
      </c>
      <c r="C77" s="5">
        <f>INDEX('Raw Data'!$C$2:$C$377,MATCH(A77,'Raw Data'!$B$2:$B$377,0))</f>
        <v/>
      </c>
      <c r="D77" s="7">
        <f>_xlfn.MINIFS('Raw Data'!$E$2:$E$377,'Raw Data'!$B$2:$B$377,A77)</f>
        <v/>
      </c>
      <c r="E77" s="5">
        <f>INDEX('Raw Data'!$A$2:$A$377,MATCH(1,INDEX(('Raw Data'!$B$2:$B$377=A77)*('Raw Data'!$E$2:$E$377=D77),0),0))</f>
        <v/>
      </c>
      <c r="F77" s="7">
        <f>_xlfn.MAXIFS('Raw Data'!$E$2:$E$377,'Raw Data'!$B$2:$B$377,A77)</f>
        <v/>
      </c>
      <c r="G77" s="5">
        <f>INDEX('Raw Data'!$A$2:$A$377,MATCH(1,INDEX(('Raw Data'!$B$2:$B$377=A77)*('Raw Data'!$E$2:$E$377=F77),0),0))</f>
        <v/>
      </c>
      <c r="H77" s="7">
        <f>F77-D77</f>
        <v/>
      </c>
      <c r="I77" s="5">
        <f>COUNTIF('Raw Data'!$B$2:$B$377,A77)</f>
        <v/>
      </c>
    </row>
    <row r="78">
      <c r="A78" s="5" t="n">
        <v>42684</v>
      </c>
      <c r="B78" s="6">
        <f>INDEX('Raw Data'!$D$2:$D$377,MATCH(A78,'Raw Data'!$B$2:$B$377,0))</f>
        <v/>
      </c>
      <c r="C78" s="5">
        <f>INDEX('Raw Data'!$C$2:$C$377,MATCH(A78,'Raw Data'!$B$2:$B$377,0))</f>
        <v/>
      </c>
      <c r="D78" s="7">
        <f>_xlfn.MINIFS('Raw Data'!$E$2:$E$377,'Raw Data'!$B$2:$B$377,A78)</f>
        <v/>
      </c>
      <c r="E78" s="5">
        <f>INDEX('Raw Data'!$A$2:$A$377,MATCH(1,INDEX(('Raw Data'!$B$2:$B$377=A78)*('Raw Data'!$E$2:$E$377=D78),0),0))</f>
        <v/>
      </c>
      <c r="F78" s="7">
        <f>_xlfn.MAXIFS('Raw Data'!$E$2:$E$377,'Raw Data'!$B$2:$B$377,A78)</f>
        <v/>
      </c>
      <c r="G78" s="5">
        <f>INDEX('Raw Data'!$A$2:$A$377,MATCH(1,INDEX(('Raw Data'!$B$2:$B$377=A78)*('Raw Data'!$E$2:$E$377=F78),0),0))</f>
        <v/>
      </c>
      <c r="H78" s="7">
        <f>F78-D78</f>
        <v/>
      </c>
      <c r="I78" s="5">
        <f>COUNTIF('Raw Data'!$B$2:$B$377,A78)</f>
        <v/>
      </c>
    </row>
    <row r="79">
      <c r="A79" s="5" t="n">
        <v>42685</v>
      </c>
      <c r="B79" s="6">
        <f>INDEX('Raw Data'!$D$2:$D$377,MATCH(A79,'Raw Data'!$B$2:$B$377,0))</f>
        <v/>
      </c>
      <c r="C79" s="5">
        <f>INDEX('Raw Data'!$C$2:$C$377,MATCH(A79,'Raw Data'!$B$2:$B$377,0))</f>
        <v/>
      </c>
      <c r="D79" s="7">
        <f>_xlfn.MINIFS('Raw Data'!$E$2:$E$377,'Raw Data'!$B$2:$B$377,A79)</f>
        <v/>
      </c>
      <c r="E79" s="5">
        <f>INDEX('Raw Data'!$A$2:$A$377,MATCH(1,INDEX(('Raw Data'!$B$2:$B$377=A79)*('Raw Data'!$E$2:$E$377=D79),0),0))</f>
        <v/>
      </c>
      <c r="F79" s="7">
        <f>_xlfn.MAXIFS('Raw Data'!$E$2:$E$377,'Raw Data'!$B$2:$B$377,A79)</f>
        <v/>
      </c>
      <c r="G79" s="5">
        <f>INDEX('Raw Data'!$A$2:$A$377,MATCH(1,INDEX(('Raw Data'!$B$2:$B$377=A79)*('Raw Data'!$E$2:$E$377=F79),0),0))</f>
        <v/>
      </c>
      <c r="H79" s="7">
        <f>F79-D79</f>
        <v/>
      </c>
      <c r="I79" s="5">
        <f>COUNTIF('Raw Data'!$B$2:$B$377,A79)</f>
        <v/>
      </c>
    </row>
    <row r="80">
      <c r="A80" s="5" t="n">
        <v>42686</v>
      </c>
      <c r="B80" s="6">
        <f>INDEX('Raw Data'!$D$2:$D$377,MATCH(A80,'Raw Data'!$B$2:$B$377,0))</f>
        <v/>
      </c>
      <c r="C80" s="5">
        <f>INDEX('Raw Data'!$C$2:$C$377,MATCH(A80,'Raw Data'!$B$2:$B$377,0))</f>
        <v/>
      </c>
      <c r="D80" s="7">
        <f>_xlfn.MINIFS('Raw Data'!$E$2:$E$377,'Raw Data'!$B$2:$B$377,A80)</f>
        <v/>
      </c>
      <c r="E80" s="5">
        <f>INDEX('Raw Data'!$A$2:$A$377,MATCH(1,INDEX(('Raw Data'!$B$2:$B$377=A80)*('Raw Data'!$E$2:$E$377=D80),0),0))</f>
        <v/>
      </c>
      <c r="F80" s="7">
        <f>_xlfn.MAXIFS('Raw Data'!$E$2:$E$377,'Raw Data'!$B$2:$B$377,A80)</f>
        <v/>
      </c>
      <c r="G80" s="5">
        <f>INDEX('Raw Data'!$A$2:$A$377,MATCH(1,INDEX(('Raw Data'!$B$2:$B$377=A80)*('Raw Data'!$E$2:$E$377=F80),0),0))</f>
        <v/>
      </c>
      <c r="H80" s="7">
        <f>F80-D80</f>
        <v/>
      </c>
      <c r="I80" s="5">
        <f>COUNTIF('Raw Data'!$B$2:$B$377,A80)</f>
        <v/>
      </c>
    </row>
    <row r="81">
      <c r="A81" s="5" t="n">
        <v>42687</v>
      </c>
      <c r="B81" s="6">
        <f>INDEX('Raw Data'!$D$2:$D$377,MATCH(A81,'Raw Data'!$B$2:$B$377,0))</f>
        <v/>
      </c>
      <c r="C81" s="5">
        <f>INDEX('Raw Data'!$C$2:$C$377,MATCH(A81,'Raw Data'!$B$2:$B$377,0))</f>
        <v/>
      </c>
      <c r="D81" s="7">
        <f>_xlfn.MINIFS('Raw Data'!$E$2:$E$377,'Raw Data'!$B$2:$B$377,A81)</f>
        <v/>
      </c>
      <c r="E81" s="5">
        <f>INDEX('Raw Data'!$A$2:$A$377,MATCH(1,INDEX(('Raw Data'!$B$2:$B$377=A81)*('Raw Data'!$E$2:$E$377=D81),0),0))</f>
        <v/>
      </c>
      <c r="F81" s="7">
        <f>_xlfn.MAXIFS('Raw Data'!$E$2:$E$377,'Raw Data'!$B$2:$B$377,A81)</f>
        <v/>
      </c>
      <c r="G81" s="5">
        <f>INDEX('Raw Data'!$A$2:$A$377,MATCH(1,INDEX(('Raw Data'!$B$2:$B$377=A81)*('Raw Data'!$E$2:$E$377=F81),0),0))</f>
        <v/>
      </c>
      <c r="H81" s="7">
        <f>F81-D81</f>
        <v/>
      </c>
      <c r="I81" s="5">
        <f>COUNTIF('Raw Data'!$B$2:$B$377,A81)</f>
        <v/>
      </c>
    </row>
    <row r="82">
      <c r="A82" s="5" t="n">
        <v>42688</v>
      </c>
      <c r="B82" s="6">
        <f>INDEX('Raw Data'!$D$2:$D$377,MATCH(A82,'Raw Data'!$B$2:$B$377,0))</f>
        <v/>
      </c>
      <c r="C82" s="5">
        <f>INDEX('Raw Data'!$C$2:$C$377,MATCH(A82,'Raw Data'!$B$2:$B$377,0))</f>
        <v/>
      </c>
      <c r="D82" s="7">
        <f>_xlfn.MINIFS('Raw Data'!$E$2:$E$377,'Raw Data'!$B$2:$B$377,A82)</f>
        <v/>
      </c>
      <c r="E82" s="5">
        <f>INDEX('Raw Data'!$A$2:$A$377,MATCH(1,INDEX(('Raw Data'!$B$2:$B$377=A82)*('Raw Data'!$E$2:$E$377=D82),0),0))</f>
        <v/>
      </c>
      <c r="F82" s="7">
        <f>_xlfn.MAXIFS('Raw Data'!$E$2:$E$377,'Raw Data'!$B$2:$B$377,A82)</f>
        <v/>
      </c>
      <c r="G82" s="5">
        <f>INDEX('Raw Data'!$A$2:$A$377,MATCH(1,INDEX(('Raw Data'!$B$2:$B$377=A82)*('Raw Data'!$E$2:$E$377=F82),0),0))</f>
        <v/>
      </c>
      <c r="H82" s="7">
        <f>F82-D82</f>
        <v/>
      </c>
      <c r="I82" s="5">
        <f>COUNTIF('Raw Data'!$B$2:$B$377,A82)</f>
        <v/>
      </c>
    </row>
    <row r="83">
      <c r="A83" s="5" t="n">
        <v>42689</v>
      </c>
      <c r="B83" s="6">
        <f>INDEX('Raw Data'!$D$2:$D$377,MATCH(A83,'Raw Data'!$B$2:$B$377,0))</f>
        <v/>
      </c>
      <c r="C83" s="5">
        <f>INDEX('Raw Data'!$C$2:$C$377,MATCH(A83,'Raw Data'!$B$2:$B$377,0))</f>
        <v/>
      </c>
      <c r="D83" s="7">
        <f>_xlfn.MINIFS('Raw Data'!$E$2:$E$377,'Raw Data'!$B$2:$B$377,A83)</f>
        <v/>
      </c>
      <c r="E83" s="5">
        <f>INDEX('Raw Data'!$A$2:$A$377,MATCH(1,INDEX(('Raw Data'!$B$2:$B$377=A83)*('Raw Data'!$E$2:$E$377=D83),0),0))</f>
        <v/>
      </c>
      <c r="F83" s="7">
        <f>_xlfn.MAXIFS('Raw Data'!$E$2:$E$377,'Raw Data'!$B$2:$B$377,A83)</f>
        <v/>
      </c>
      <c r="G83" s="5">
        <f>INDEX('Raw Data'!$A$2:$A$377,MATCH(1,INDEX(('Raw Data'!$B$2:$B$377=A83)*('Raw Data'!$E$2:$E$377=F83),0),0))</f>
        <v/>
      </c>
      <c r="H83" s="7">
        <f>F83-D83</f>
        <v/>
      </c>
      <c r="I83" s="5">
        <f>COUNTIF('Raw Data'!$B$2:$B$377,A83)</f>
        <v/>
      </c>
    </row>
    <row r="84">
      <c r="A84" s="5" t="n">
        <v>42690</v>
      </c>
      <c r="B84" s="6">
        <f>INDEX('Raw Data'!$D$2:$D$377,MATCH(A84,'Raw Data'!$B$2:$B$377,0))</f>
        <v/>
      </c>
      <c r="C84" s="5">
        <f>INDEX('Raw Data'!$C$2:$C$377,MATCH(A84,'Raw Data'!$B$2:$B$377,0))</f>
        <v/>
      </c>
      <c r="D84" s="7">
        <f>_xlfn.MINIFS('Raw Data'!$E$2:$E$377,'Raw Data'!$B$2:$B$377,A84)</f>
        <v/>
      </c>
      <c r="E84" s="5">
        <f>INDEX('Raw Data'!$A$2:$A$377,MATCH(1,INDEX(('Raw Data'!$B$2:$B$377=A84)*('Raw Data'!$E$2:$E$377=D84),0),0))</f>
        <v/>
      </c>
      <c r="F84" s="7">
        <f>_xlfn.MAXIFS('Raw Data'!$E$2:$E$377,'Raw Data'!$B$2:$B$377,A84)</f>
        <v/>
      </c>
      <c r="G84" s="5">
        <f>INDEX('Raw Data'!$A$2:$A$377,MATCH(1,INDEX(('Raw Data'!$B$2:$B$377=A84)*('Raw Data'!$E$2:$E$377=F84),0),0))</f>
        <v/>
      </c>
      <c r="H84" s="7">
        <f>F84-D84</f>
        <v/>
      </c>
      <c r="I84" s="5">
        <f>COUNTIF('Raw Data'!$B$2:$B$377,A84)</f>
        <v/>
      </c>
    </row>
    <row r="85">
      <c r="A85" s="5" t="n">
        <v>42691</v>
      </c>
      <c r="B85" s="6">
        <f>INDEX('Raw Data'!$D$2:$D$377,MATCH(A85,'Raw Data'!$B$2:$B$377,0))</f>
        <v/>
      </c>
      <c r="C85" s="5">
        <f>INDEX('Raw Data'!$C$2:$C$377,MATCH(A85,'Raw Data'!$B$2:$B$377,0))</f>
        <v/>
      </c>
      <c r="D85" s="7">
        <f>_xlfn.MINIFS('Raw Data'!$E$2:$E$377,'Raw Data'!$B$2:$B$377,A85)</f>
        <v/>
      </c>
      <c r="E85" s="5">
        <f>INDEX('Raw Data'!$A$2:$A$377,MATCH(1,INDEX(('Raw Data'!$B$2:$B$377=A85)*('Raw Data'!$E$2:$E$377=D85),0),0))</f>
        <v/>
      </c>
      <c r="F85" s="7">
        <f>_xlfn.MAXIFS('Raw Data'!$E$2:$E$377,'Raw Data'!$B$2:$B$377,A85)</f>
        <v/>
      </c>
      <c r="G85" s="5">
        <f>INDEX('Raw Data'!$A$2:$A$377,MATCH(1,INDEX(('Raw Data'!$B$2:$B$377=A85)*('Raw Data'!$E$2:$E$377=F85),0),0))</f>
        <v/>
      </c>
      <c r="H85" s="7">
        <f>F85-D85</f>
        <v/>
      </c>
      <c r="I85" s="5">
        <f>COUNTIF('Raw Data'!$B$2:$B$377,A85)</f>
        <v/>
      </c>
    </row>
    <row r="86">
      <c r="A86" s="5" t="n">
        <v>42692</v>
      </c>
      <c r="B86" s="6">
        <f>INDEX('Raw Data'!$D$2:$D$377,MATCH(A86,'Raw Data'!$B$2:$B$377,0))</f>
        <v/>
      </c>
      <c r="C86" s="5">
        <f>INDEX('Raw Data'!$C$2:$C$377,MATCH(A86,'Raw Data'!$B$2:$B$377,0))</f>
        <v/>
      </c>
      <c r="D86" s="7">
        <f>_xlfn.MINIFS('Raw Data'!$E$2:$E$377,'Raw Data'!$B$2:$B$377,A86)</f>
        <v/>
      </c>
      <c r="E86" s="5">
        <f>INDEX('Raw Data'!$A$2:$A$377,MATCH(1,INDEX(('Raw Data'!$B$2:$B$377=A86)*('Raw Data'!$E$2:$E$377=D86),0),0))</f>
        <v/>
      </c>
      <c r="F86" s="7">
        <f>_xlfn.MAXIFS('Raw Data'!$E$2:$E$377,'Raw Data'!$B$2:$B$377,A86)</f>
        <v/>
      </c>
      <c r="G86" s="5">
        <f>INDEX('Raw Data'!$A$2:$A$377,MATCH(1,INDEX(('Raw Data'!$B$2:$B$377=A86)*('Raw Data'!$E$2:$E$377=F86),0),0))</f>
        <v/>
      </c>
      <c r="H86" s="7">
        <f>F86-D86</f>
        <v/>
      </c>
      <c r="I86" s="5">
        <f>COUNTIF('Raw Data'!$B$2:$B$377,A86)</f>
        <v/>
      </c>
    </row>
    <row r="87">
      <c r="A87" s="5" t="n">
        <v>42693</v>
      </c>
      <c r="B87" s="6">
        <f>INDEX('Raw Data'!$D$2:$D$377,MATCH(A87,'Raw Data'!$B$2:$B$377,0))</f>
        <v/>
      </c>
      <c r="C87" s="5">
        <f>INDEX('Raw Data'!$C$2:$C$377,MATCH(A87,'Raw Data'!$B$2:$B$377,0))</f>
        <v/>
      </c>
      <c r="D87" s="7">
        <f>_xlfn.MINIFS('Raw Data'!$E$2:$E$377,'Raw Data'!$B$2:$B$377,A87)</f>
        <v/>
      </c>
      <c r="E87" s="5">
        <f>INDEX('Raw Data'!$A$2:$A$377,MATCH(1,INDEX(('Raw Data'!$B$2:$B$377=A87)*('Raw Data'!$E$2:$E$377=D87),0),0))</f>
        <v/>
      </c>
      <c r="F87" s="7">
        <f>_xlfn.MAXIFS('Raw Data'!$E$2:$E$377,'Raw Data'!$B$2:$B$377,A87)</f>
        <v/>
      </c>
      <c r="G87" s="5">
        <f>INDEX('Raw Data'!$A$2:$A$377,MATCH(1,INDEX(('Raw Data'!$B$2:$B$377=A87)*('Raw Data'!$E$2:$E$377=F87),0),0))</f>
        <v/>
      </c>
      <c r="H87" s="7">
        <f>F87-D87</f>
        <v/>
      </c>
      <c r="I87" s="5">
        <f>COUNTIF('Raw Data'!$B$2:$B$377,A87)</f>
        <v/>
      </c>
    </row>
    <row r="88">
      <c r="A88" s="5" t="n">
        <v>42694</v>
      </c>
      <c r="B88" s="6">
        <f>INDEX('Raw Data'!$D$2:$D$377,MATCH(A88,'Raw Data'!$B$2:$B$377,0))</f>
        <v/>
      </c>
      <c r="C88" s="5">
        <f>INDEX('Raw Data'!$C$2:$C$377,MATCH(A88,'Raw Data'!$B$2:$B$377,0))</f>
        <v/>
      </c>
      <c r="D88" s="7">
        <f>_xlfn.MINIFS('Raw Data'!$E$2:$E$377,'Raw Data'!$B$2:$B$377,A88)</f>
        <v/>
      </c>
      <c r="E88" s="5">
        <f>INDEX('Raw Data'!$A$2:$A$377,MATCH(1,INDEX(('Raw Data'!$B$2:$B$377=A88)*('Raw Data'!$E$2:$E$377=D88),0),0))</f>
        <v/>
      </c>
      <c r="F88" s="7">
        <f>_xlfn.MAXIFS('Raw Data'!$E$2:$E$377,'Raw Data'!$B$2:$B$377,A88)</f>
        <v/>
      </c>
      <c r="G88" s="5">
        <f>INDEX('Raw Data'!$A$2:$A$377,MATCH(1,INDEX(('Raw Data'!$B$2:$B$377=A88)*('Raw Data'!$E$2:$E$377=F88),0),0))</f>
        <v/>
      </c>
      <c r="H88" s="7">
        <f>F88-D88</f>
        <v/>
      </c>
      <c r="I88" s="5">
        <f>COUNTIF('Raw Data'!$B$2:$B$377,A88)</f>
        <v/>
      </c>
    </row>
    <row r="89">
      <c r="A89" s="5" t="n">
        <v>42695</v>
      </c>
      <c r="B89" s="6">
        <f>INDEX('Raw Data'!$D$2:$D$377,MATCH(A89,'Raw Data'!$B$2:$B$377,0))</f>
        <v/>
      </c>
      <c r="C89" s="5">
        <f>INDEX('Raw Data'!$C$2:$C$377,MATCH(A89,'Raw Data'!$B$2:$B$377,0))</f>
        <v/>
      </c>
      <c r="D89" s="7">
        <f>_xlfn.MINIFS('Raw Data'!$E$2:$E$377,'Raw Data'!$B$2:$B$377,A89)</f>
        <v/>
      </c>
      <c r="E89" s="5">
        <f>INDEX('Raw Data'!$A$2:$A$377,MATCH(1,INDEX(('Raw Data'!$B$2:$B$377=A89)*('Raw Data'!$E$2:$E$377=D89),0),0))</f>
        <v/>
      </c>
      <c r="F89" s="7">
        <f>_xlfn.MAXIFS('Raw Data'!$E$2:$E$377,'Raw Data'!$B$2:$B$377,A89)</f>
        <v/>
      </c>
      <c r="G89" s="5">
        <f>INDEX('Raw Data'!$A$2:$A$377,MATCH(1,INDEX(('Raw Data'!$B$2:$B$377=A89)*('Raw Data'!$E$2:$E$377=F89),0),0))</f>
        <v/>
      </c>
      <c r="H89" s="7">
        <f>F89-D89</f>
        <v/>
      </c>
      <c r="I89" s="5">
        <f>COUNTIF('Raw Data'!$B$2:$B$377,A89)</f>
        <v/>
      </c>
    </row>
    <row r="90">
      <c r="A90" s="5" t="n">
        <v>42696</v>
      </c>
      <c r="B90" s="6">
        <f>INDEX('Raw Data'!$D$2:$D$377,MATCH(A90,'Raw Data'!$B$2:$B$377,0))</f>
        <v/>
      </c>
      <c r="C90" s="5">
        <f>INDEX('Raw Data'!$C$2:$C$377,MATCH(A90,'Raw Data'!$B$2:$B$377,0))</f>
        <v/>
      </c>
      <c r="D90" s="7">
        <f>_xlfn.MINIFS('Raw Data'!$E$2:$E$377,'Raw Data'!$B$2:$B$377,A90)</f>
        <v/>
      </c>
      <c r="E90" s="5">
        <f>INDEX('Raw Data'!$A$2:$A$377,MATCH(1,INDEX(('Raw Data'!$B$2:$B$377=A90)*('Raw Data'!$E$2:$E$377=D90),0),0))</f>
        <v/>
      </c>
      <c r="F90" s="7">
        <f>_xlfn.MAXIFS('Raw Data'!$E$2:$E$377,'Raw Data'!$B$2:$B$377,A90)</f>
        <v/>
      </c>
      <c r="G90" s="5">
        <f>INDEX('Raw Data'!$A$2:$A$377,MATCH(1,INDEX(('Raw Data'!$B$2:$B$377=A90)*('Raw Data'!$E$2:$E$377=F90),0),0))</f>
        <v/>
      </c>
      <c r="H90" s="7">
        <f>F90-D90</f>
        <v/>
      </c>
      <c r="I90" s="5">
        <f>COUNTIF('Raw Data'!$B$2:$B$377,A90)</f>
        <v/>
      </c>
    </row>
    <row r="91">
      <c r="A91" s="5" t="n">
        <v>42697</v>
      </c>
      <c r="B91" s="6">
        <f>INDEX('Raw Data'!$D$2:$D$377,MATCH(A91,'Raw Data'!$B$2:$B$377,0))</f>
        <v/>
      </c>
      <c r="C91" s="5">
        <f>INDEX('Raw Data'!$C$2:$C$377,MATCH(A91,'Raw Data'!$B$2:$B$377,0))</f>
        <v/>
      </c>
      <c r="D91" s="7">
        <f>_xlfn.MINIFS('Raw Data'!$E$2:$E$377,'Raw Data'!$B$2:$B$377,A91)</f>
        <v/>
      </c>
      <c r="E91" s="5">
        <f>INDEX('Raw Data'!$A$2:$A$377,MATCH(1,INDEX(('Raw Data'!$B$2:$B$377=A91)*('Raw Data'!$E$2:$E$377=D91),0),0))</f>
        <v/>
      </c>
      <c r="F91" s="7">
        <f>_xlfn.MAXIFS('Raw Data'!$E$2:$E$377,'Raw Data'!$B$2:$B$377,A91)</f>
        <v/>
      </c>
      <c r="G91" s="5">
        <f>INDEX('Raw Data'!$A$2:$A$377,MATCH(1,INDEX(('Raw Data'!$B$2:$B$377=A91)*('Raw Data'!$E$2:$E$377=F91),0),0))</f>
        <v/>
      </c>
      <c r="H91" s="7">
        <f>F91-D91</f>
        <v/>
      </c>
      <c r="I91" s="5">
        <f>COUNTIF('Raw Data'!$B$2:$B$377,A91)</f>
        <v/>
      </c>
    </row>
    <row r="92">
      <c r="A92" s="5" t="n">
        <v>42698</v>
      </c>
      <c r="B92" s="6">
        <f>INDEX('Raw Data'!$D$2:$D$377,MATCH(A92,'Raw Data'!$B$2:$B$377,0))</f>
        <v/>
      </c>
      <c r="C92" s="5">
        <f>INDEX('Raw Data'!$C$2:$C$377,MATCH(A92,'Raw Data'!$B$2:$B$377,0))</f>
        <v/>
      </c>
      <c r="D92" s="7">
        <f>_xlfn.MINIFS('Raw Data'!$E$2:$E$377,'Raw Data'!$B$2:$B$377,A92)</f>
        <v/>
      </c>
      <c r="E92" s="5">
        <f>INDEX('Raw Data'!$A$2:$A$377,MATCH(1,INDEX(('Raw Data'!$B$2:$B$377=A92)*('Raw Data'!$E$2:$E$377=D92),0),0))</f>
        <v/>
      </c>
      <c r="F92" s="7">
        <f>_xlfn.MAXIFS('Raw Data'!$E$2:$E$377,'Raw Data'!$B$2:$B$377,A92)</f>
        <v/>
      </c>
      <c r="G92" s="5">
        <f>INDEX('Raw Data'!$A$2:$A$377,MATCH(1,INDEX(('Raw Data'!$B$2:$B$377=A92)*('Raw Data'!$E$2:$E$377=F92),0),0))</f>
        <v/>
      </c>
      <c r="H92" s="7">
        <f>F92-D92</f>
        <v/>
      </c>
      <c r="I92" s="5">
        <f>COUNTIF('Raw Data'!$B$2:$B$377,A92)</f>
        <v/>
      </c>
    </row>
    <row r="93">
      <c r="A93" s="5" t="n">
        <v>42699</v>
      </c>
      <c r="B93" s="6">
        <f>INDEX('Raw Data'!$D$2:$D$377,MATCH(A93,'Raw Data'!$B$2:$B$377,0))</f>
        <v/>
      </c>
      <c r="C93" s="5">
        <f>INDEX('Raw Data'!$C$2:$C$377,MATCH(A93,'Raw Data'!$B$2:$B$377,0))</f>
        <v/>
      </c>
      <c r="D93" s="7">
        <f>_xlfn.MINIFS('Raw Data'!$E$2:$E$377,'Raw Data'!$B$2:$B$377,A93)</f>
        <v/>
      </c>
      <c r="E93" s="5">
        <f>INDEX('Raw Data'!$A$2:$A$377,MATCH(1,INDEX(('Raw Data'!$B$2:$B$377=A93)*('Raw Data'!$E$2:$E$377=D93),0),0))</f>
        <v/>
      </c>
      <c r="F93" s="7">
        <f>_xlfn.MAXIFS('Raw Data'!$E$2:$E$377,'Raw Data'!$B$2:$B$377,A93)</f>
        <v/>
      </c>
      <c r="G93" s="5">
        <f>INDEX('Raw Data'!$A$2:$A$377,MATCH(1,INDEX(('Raw Data'!$B$2:$B$377=A93)*('Raw Data'!$E$2:$E$377=F93),0),0))</f>
        <v/>
      </c>
      <c r="H93" s="7">
        <f>F93-D93</f>
        <v/>
      </c>
      <c r="I93" s="5">
        <f>COUNTIF('Raw Data'!$B$2:$B$377,A93)</f>
        <v/>
      </c>
    </row>
    <row r="94">
      <c r="A94" s="5" t="n">
        <v>42700</v>
      </c>
      <c r="B94" s="6">
        <f>INDEX('Raw Data'!$D$2:$D$377,MATCH(A94,'Raw Data'!$B$2:$B$377,0))</f>
        <v/>
      </c>
      <c r="C94" s="5">
        <f>INDEX('Raw Data'!$C$2:$C$377,MATCH(A94,'Raw Data'!$B$2:$B$377,0))</f>
        <v/>
      </c>
      <c r="D94" s="7">
        <f>_xlfn.MINIFS('Raw Data'!$E$2:$E$377,'Raw Data'!$B$2:$B$377,A94)</f>
        <v/>
      </c>
      <c r="E94" s="5">
        <f>INDEX('Raw Data'!$A$2:$A$377,MATCH(1,INDEX(('Raw Data'!$B$2:$B$377=A94)*('Raw Data'!$E$2:$E$377=D94),0),0))</f>
        <v/>
      </c>
      <c r="F94" s="7">
        <f>_xlfn.MAXIFS('Raw Data'!$E$2:$E$377,'Raw Data'!$B$2:$B$377,A94)</f>
        <v/>
      </c>
      <c r="G94" s="5">
        <f>INDEX('Raw Data'!$A$2:$A$377,MATCH(1,INDEX(('Raw Data'!$B$2:$B$377=A94)*('Raw Data'!$E$2:$E$377=F94),0),0))</f>
        <v/>
      </c>
      <c r="H94" s="7">
        <f>F94-D94</f>
        <v/>
      </c>
      <c r="I94" s="5">
        <f>COUNTIF('Raw Data'!$B$2:$B$377,A94)</f>
        <v/>
      </c>
    </row>
    <row r="95">
      <c r="A95" s="5" t="n">
        <v>42701</v>
      </c>
      <c r="B95" s="6">
        <f>INDEX('Raw Data'!$D$2:$D$377,MATCH(A95,'Raw Data'!$B$2:$B$377,0))</f>
        <v/>
      </c>
      <c r="C95" s="5">
        <f>INDEX('Raw Data'!$C$2:$C$377,MATCH(A95,'Raw Data'!$B$2:$B$377,0))</f>
        <v/>
      </c>
      <c r="D95" s="7">
        <f>_xlfn.MINIFS('Raw Data'!$E$2:$E$377,'Raw Data'!$B$2:$B$377,A95)</f>
        <v/>
      </c>
      <c r="E95" s="5">
        <f>INDEX('Raw Data'!$A$2:$A$377,MATCH(1,INDEX(('Raw Data'!$B$2:$B$377=A95)*('Raw Data'!$E$2:$E$377=D95),0),0))</f>
        <v/>
      </c>
      <c r="F95" s="7">
        <f>_xlfn.MAXIFS('Raw Data'!$E$2:$E$377,'Raw Data'!$B$2:$B$377,A95)</f>
        <v/>
      </c>
      <c r="G95" s="5">
        <f>INDEX('Raw Data'!$A$2:$A$377,MATCH(1,INDEX(('Raw Data'!$B$2:$B$377=A95)*('Raw Data'!$E$2:$E$377=F95),0),0))</f>
        <v/>
      </c>
      <c r="H95" s="7">
        <f>F95-D95</f>
        <v/>
      </c>
      <c r="I95" s="5">
        <f>COUNTIF('Raw Data'!$B$2:$B$377,A95)</f>
        <v/>
      </c>
    </row>
    <row r="96">
      <c r="A96" s="5" t="n">
        <v>42702</v>
      </c>
      <c r="B96" s="6">
        <f>INDEX('Raw Data'!$D$2:$D$377,MATCH(A96,'Raw Data'!$B$2:$B$377,0))</f>
        <v/>
      </c>
      <c r="C96" s="5">
        <f>INDEX('Raw Data'!$C$2:$C$377,MATCH(A96,'Raw Data'!$B$2:$B$377,0))</f>
        <v/>
      </c>
      <c r="D96" s="7">
        <f>_xlfn.MINIFS('Raw Data'!$E$2:$E$377,'Raw Data'!$B$2:$B$377,A96)</f>
        <v/>
      </c>
      <c r="E96" s="5">
        <f>INDEX('Raw Data'!$A$2:$A$377,MATCH(1,INDEX(('Raw Data'!$B$2:$B$377=A96)*('Raw Data'!$E$2:$E$377=D96),0),0))</f>
        <v/>
      </c>
      <c r="F96" s="7">
        <f>_xlfn.MAXIFS('Raw Data'!$E$2:$E$377,'Raw Data'!$B$2:$B$377,A96)</f>
        <v/>
      </c>
      <c r="G96" s="5">
        <f>INDEX('Raw Data'!$A$2:$A$377,MATCH(1,INDEX(('Raw Data'!$B$2:$B$377=A96)*('Raw Data'!$E$2:$E$377=F96),0),0))</f>
        <v/>
      </c>
      <c r="H96" s="7">
        <f>F96-D96</f>
        <v/>
      </c>
      <c r="I96" s="5">
        <f>COUNTIF('Raw Data'!$B$2:$B$377,A96)</f>
        <v/>
      </c>
    </row>
    <row r="97">
      <c r="A97" s="5" t="n">
        <v>42703</v>
      </c>
      <c r="B97" s="6">
        <f>INDEX('Raw Data'!$D$2:$D$377,MATCH(A97,'Raw Data'!$B$2:$B$377,0))</f>
        <v/>
      </c>
      <c r="C97" s="5">
        <f>INDEX('Raw Data'!$C$2:$C$377,MATCH(A97,'Raw Data'!$B$2:$B$377,0))</f>
        <v/>
      </c>
      <c r="D97" s="7">
        <f>_xlfn.MINIFS('Raw Data'!$E$2:$E$377,'Raw Data'!$B$2:$B$377,A97)</f>
        <v/>
      </c>
      <c r="E97" s="5">
        <f>INDEX('Raw Data'!$A$2:$A$377,MATCH(1,INDEX(('Raw Data'!$B$2:$B$377=A97)*('Raw Data'!$E$2:$E$377=D97),0),0))</f>
        <v/>
      </c>
      <c r="F97" s="7">
        <f>_xlfn.MAXIFS('Raw Data'!$E$2:$E$377,'Raw Data'!$B$2:$B$377,A97)</f>
        <v/>
      </c>
      <c r="G97" s="5">
        <f>INDEX('Raw Data'!$A$2:$A$377,MATCH(1,INDEX(('Raw Data'!$B$2:$B$377=A97)*('Raw Data'!$E$2:$E$377=F97),0),0))</f>
        <v/>
      </c>
      <c r="H97" s="7">
        <f>F97-D97</f>
        <v/>
      </c>
      <c r="I97" s="5">
        <f>COUNTIF('Raw Data'!$B$2:$B$377,A97)</f>
        <v/>
      </c>
    </row>
    <row r="98">
      <c r="A98" s="5" t="n">
        <v>42704</v>
      </c>
      <c r="B98" s="6">
        <f>INDEX('Raw Data'!$D$2:$D$377,MATCH(A98,'Raw Data'!$B$2:$B$377,0))</f>
        <v/>
      </c>
      <c r="C98" s="5">
        <f>INDEX('Raw Data'!$C$2:$C$377,MATCH(A98,'Raw Data'!$B$2:$B$377,0))</f>
        <v/>
      </c>
      <c r="D98" s="7">
        <f>_xlfn.MINIFS('Raw Data'!$E$2:$E$377,'Raw Data'!$B$2:$B$377,A98)</f>
        <v/>
      </c>
      <c r="E98" s="5">
        <f>INDEX('Raw Data'!$A$2:$A$377,MATCH(1,INDEX(('Raw Data'!$B$2:$B$377=A98)*('Raw Data'!$E$2:$E$377=D98),0),0))</f>
        <v/>
      </c>
      <c r="F98" s="7">
        <f>_xlfn.MAXIFS('Raw Data'!$E$2:$E$377,'Raw Data'!$B$2:$B$377,A98)</f>
        <v/>
      </c>
      <c r="G98" s="5">
        <f>INDEX('Raw Data'!$A$2:$A$377,MATCH(1,INDEX(('Raw Data'!$B$2:$B$377=A98)*('Raw Data'!$E$2:$E$377=F98),0),0))</f>
        <v/>
      </c>
      <c r="H98" s="7">
        <f>F98-D98</f>
        <v/>
      </c>
      <c r="I98" s="5">
        <f>COUNTIF('Raw Data'!$B$2:$B$377,A98)</f>
        <v/>
      </c>
    </row>
    <row r="99">
      <c r="A99" s="5" t="n">
        <v>42705</v>
      </c>
      <c r="B99" s="6">
        <f>INDEX('Raw Data'!$D$2:$D$377,MATCH(A99,'Raw Data'!$B$2:$B$377,0))</f>
        <v/>
      </c>
      <c r="C99" s="5">
        <f>INDEX('Raw Data'!$C$2:$C$377,MATCH(A99,'Raw Data'!$B$2:$B$377,0))</f>
        <v/>
      </c>
      <c r="D99" s="7">
        <f>_xlfn.MINIFS('Raw Data'!$E$2:$E$377,'Raw Data'!$B$2:$B$377,A99)</f>
        <v/>
      </c>
      <c r="E99" s="5">
        <f>INDEX('Raw Data'!$A$2:$A$377,MATCH(1,INDEX(('Raw Data'!$B$2:$B$377=A99)*('Raw Data'!$E$2:$E$377=D99),0),0))</f>
        <v/>
      </c>
      <c r="F99" s="7">
        <f>_xlfn.MAXIFS('Raw Data'!$E$2:$E$377,'Raw Data'!$B$2:$B$377,A99)</f>
        <v/>
      </c>
      <c r="G99" s="5">
        <f>INDEX('Raw Data'!$A$2:$A$377,MATCH(1,INDEX(('Raw Data'!$B$2:$B$377=A99)*('Raw Data'!$E$2:$E$377=F99),0),0))</f>
        <v/>
      </c>
      <c r="H99" s="7">
        <f>F99-D99</f>
        <v/>
      </c>
      <c r="I99" s="5">
        <f>COUNTIF('Raw Data'!$B$2:$B$377,A99)</f>
        <v/>
      </c>
    </row>
    <row r="100">
      <c r="A100" s="5" t="n">
        <v>43018</v>
      </c>
      <c r="B100" s="6">
        <f>INDEX('Raw Data'!$D$2:$D$377,MATCH(A100,'Raw Data'!$B$2:$B$377,0))</f>
        <v/>
      </c>
      <c r="C100" s="5">
        <f>INDEX('Raw Data'!$C$2:$C$377,MATCH(A100,'Raw Data'!$B$2:$B$377,0))</f>
        <v/>
      </c>
      <c r="D100" s="7">
        <f>_xlfn.MINIFS('Raw Data'!$E$2:$E$377,'Raw Data'!$B$2:$B$377,A100)</f>
        <v/>
      </c>
      <c r="E100" s="5">
        <f>INDEX('Raw Data'!$A$2:$A$377,MATCH(1,INDEX(('Raw Data'!$B$2:$B$377=A100)*('Raw Data'!$E$2:$E$377=D100),0),0))</f>
        <v/>
      </c>
      <c r="F100" s="7">
        <f>_xlfn.MAXIFS('Raw Data'!$E$2:$E$377,'Raw Data'!$B$2:$B$377,A100)</f>
        <v/>
      </c>
      <c r="G100" s="5">
        <f>INDEX('Raw Data'!$A$2:$A$377,MATCH(1,INDEX(('Raw Data'!$B$2:$B$377=A100)*('Raw Data'!$E$2:$E$377=F100),0),0))</f>
        <v/>
      </c>
      <c r="H100" s="7">
        <f>F100-D100</f>
        <v/>
      </c>
      <c r="I100" s="5">
        <f>COUNTIF('Raw Data'!$B$2:$B$377,A100)</f>
        <v/>
      </c>
    </row>
    <row r="101">
      <c r="A101" s="5" t="n">
        <v>60205</v>
      </c>
      <c r="B101" s="6">
        <f>INDEX('Raw Data'!$D$2:$D$377,MATCH(A101,'Raw Data'!$B$2:$B$377,0))</f>
        <v/>
      </c>
      <c r="C101" s="5">
        <f>INDEX('Raw Data'!$C$2:$C$377,MATCH(A101,'Raw Data'!$B$2:$B$377,0))</f>
        <v/>
      </c>
      <c r="D101" s="7">
        <f>_xlfn.MINIFS('Raw Data'!$E$2:$E$377,'Raw Data'!$B$2:$B$377,A101)</f>
        <v/>
      </c>
      <c r="E101" s="5">
        <f>INDEX('Raw Data'!$A$2:$A$377,MATCH(1,INDEX(('Raw Data'!$B$2:$B$377=A101)*('Raw Data'!$E$2:$E$377=D101),0),0))</f>
        <v/>
      </c>
      <c r="F101" s="7">
        <f>_xlfn.MAXIFS('Raw Data'!$E$2:$E$377,'Raw Data'!$B$2:$B$377,A101)</f>
        <v/>
      </c>
      <c r="G101" s="5">
        <f>INDEX('Raw Data'!$A$2:$A$377,MATCH(1,INDEX(('Raw Data'!$B$2:$B$377=A101)*('Raw Data'!$E$2:$E$377=F101),0),0))</f>
        <v/>
      </c>
      <c r="H101" s="7">
        <f>F101-D101</f>
        <v/>
      </c>
      <c r="I101" s="5">
        <f>COUNTIF('Raw Data'!$B$2:$B$377,A101)</f>
        <v/>
      </c>
    </row>
    <row r="102">
      <c r="A102" s="5" t="n">
        <v>60312</v>
      </c>
      <c r="B102" s="6">
        <f>INDEX('Raw Data'!$D$2:$D$377,MATCH(A102,'Raw Data'!$B$2:$B$377,0))</f>
        <v/>
      </c>
      <c r="C102" s="5">
        <f>INDEX('Raw Data'!$C$2:$C$377,MATCH(A102,'Raw Data'!$B$2:$B$377,0))</f>
        <v/>
      </c>
      <c r="D102" s="7">
        <f>_xlfn.MINIFS('Raw Data'!$E$2:$E$377,'Raw Data'!$B$2:$B$377,A102)</f>
        <v/>
      </c>
      <c r="E102" s="5">
        <f>INDEX('Raw Data'!$A$2:$A$377,MATCH(1,INDEX(('Raw Data'!$B$2:$B$377=A102)*('Raw Data'!$E$2:$E$377=D102),0),0))</f>
        <v/>
      </c>
      <c r="F102" s="7">
        <f>_xlfn.MAXIFS('Raw Data'!$E$2:$E$377,'Raw Data'!$B$2:$B$377,A102)</f>
        <v/>
      </c>
      <c r="G102" s="5">
        <f>INDEX('Raw Data'!$A$2:$A$377,MATCH(1,INDEX(('Raw Data'!$B$2:$B$377=A102)*('Raw Data'!$E$2:$E$377=F102),0),0))</f>
        <v/>
      </c>
      <c r="H102" s="7">
        <f>F102-D102</f>
        <v/>
      </c>
      <c r="I102" s="5">
        <f>COUNTIF('Raw Data'!$B$2:$B$377,A102)</f>
        <v/>
      </c>
    </row>
    <row r="103">
      <c r="A103" s="5" t="n">
        <v>60368</v>
      </c>
      <c r="B103" s="6">
        <f>INDEX('Raw Data'!$D$2:$D$377,MATCH(A103,'Raw Data'!$B$2:$B$377,0))</f>
        <v/>
      </c>
      <c r="C103" s="5">
        <f>INDEX('Raw Data'!$C$2:$C$377,MATCH(A103,'Raw Data'!$B$2:$B$377,0))</f>
        <v/>
      </c>
      <c r="D103" s="7">
        <f>_xlfn.MINIFS('Raw Data'!$E$2:$E$377,'Raw Data'!$B$2:$B$377,A103)</f>
        <v/>
      </c>
      <c r="E103" s="5">
        <f>INDEX('Raw Data'!$A$2:$A$377,MATCH(1,INDEX(('Raw Data'!$B$2:$B$377=A103)*('Raw Data'!$E$2:$E$377=D103),0),0))</f>
        <v/>
      </c>
      <c r="F103" s="7">
        <f>_xlfn.MAXIFS('Raw Data'!$E$2:$E$377,'Raw Data'!$B$2:$B$377,A103)</f>
        <v/>
      </c>
      <c r="G103" s="5">
        <f>INDEX('Raw Data'!$A$2:$A$377,MATCH(1,INDEX(('Raw Data'!$B$2:$B$377=A103)*('Raw Data'!$E$2:$E$377=F103),0),0))</f>
        <v/>
      </c>
      <c r="H103" s="7">
        <f>F103-D103</f>
        <v/>
      </c>
      <c r="I103" s="5">
        <f>COUNTIF('Raw Data'!$B$2:$B$377,A103)</f>
        <v/>
      </c>
    </row>
    <row r="104">
      <c r="A104" s="5" t="n">
        <v>60373</v>
      </c>
      <c r="B104" s="6">
        <f>INDEX('Raw Data'!$D$2:$D$377,MATCH(A104,'Raw Data'!$B$2:$B$377,0))</f>
        <v/>
      </c>
      <c r="C104" s="5">
        <f>INDEX('Raw Data'!$C$2:$C$377,MATCH(A104,'Raw Data'!$B$2:$B$377,0))</f>
        <v/>
      </c>
      <c r="D104" s="7">
        <f>_xlfn.MINIFS('Raw Data'!$E$2:$E$377,'Raw Data'!$B$2:$B$377,A104)</f>
        <v/>
      </c>
      <c r="E104" s="5">
        <f>INDEX('Raw Data'!$A$2:$A$377,MATCH(1,INDEX(('Raw Data'!$B$2:$B$377=A104)*('Raw Data'!$E$2:$E$377=D104),0),0))</f>
        <v/>
      </c>
      <c r="F104" s="7">
        <f>_xlfn.MAXIFS('Raw Data'!$E$2:$E$377,'Raw Data'!$B$2:$B$377,A104)</f>
        <v/>
      </c>
      <c r="G104" s="5">
        <f>INDEX('Raw Data'!$A$2:$A$377,MATCH(1,INDEX(('Raw Data'!$B$2:$B$377=A104)*('Raw Data'!$E$2:$E$377=F104),0),0))</f>
        <v/>
      </c>
      <c r="H104" s="7">
        <f>F104-D104</f>
        <v/>
      </c>
      <c r="I104" s="5">
        <f>COUNTIF('Raw Data'!$B$2:$B$377,A104)</f>
        <v/>
      </c>
    </row>
    <row r="105">
      <c r="A105" s="5" t="n">
        <v>60404</v>
      </c>
      <c r="B105" s="6">
        <f>INDEX('Raw Data'!$D$2:$D$377,MATCH(A105,'Raw Data'!$B$2:$B$377,0))</f>
        <v/>
      </c>
      <c r="C105" s="5">
        <f>INDEX('Raw Data'!$C$2:$C$377,MATCH(A105,'Raw Data'!$B$2:$B$377,0))</f>
        <v/>
      </c>
      <c r="D105" s="7">
        <f>_xlfn.MINIFS('Raw Data'!$E$2:$E$377,'Raw Data'!$B$2:$B$377,A105)</f>
        <v/>
      </c>
      <c r="E105" s="5">
        <f>INDEX('Raw Data'!$A$2:$A$377,MATCH(1,INDEX(('Raw Data'!$B$2:$B$377=A105)*('Raw Data'!$E$2:$E$377=D105),0),0))</f>
        <v/>
      </c>
      <c r="F105" s="7">
        <f>_xlfn.MAXIFS('Raw Data'!$E$2:$E$377,'Raw Data'!$B$2:$B$377,A105)</f>
        <v/>
      </c>
      <c r="G105" s="5">
        <f>INDEX('Raw Data'!$A$2:$A$377,MATCH(1,INDEX(('Raw Data'!$B$2:$B$377=A105)*('Raw Data'!$E$2:$E$377=F105),0),0))</f>
        <v/>
      </c>
      <c r="H105" s="7">
        <f>F105-D105</f>
        <v/>
      </c>
      <c r="I105" s="5">
        <f>COUNTIF('Raw Data'!$B$2:$B$377,A105)</f>
        <v/>
      </c>
    </row>
    <row r="106">
      <c r="A106" s="5" t="n">
        <v>60414</v>
      </c>
      <c r="B106" s="6">
        <f>INDEX('Raw Data'!$D$2:$D$377,MATCH(A106,'Raw Data'!$B$2:$B$377,0))</f>
        <v/>
      </c>
      <c r="C106" s="5">
        <f>INDEX('Raw Data'!$C$2:$C$377,MATCH(A106,'Raw Data'!$B$2:$B$377,0))</f>
        <v/>
      </c>
      <c r="D106" s="7">
        <f>_xlfn.MINIFS('Raw Data'!$E$2:$E$377,'Raw Data'!$B$2:$B$377,A106)</f>
        <v/>
      </c>
      <c r="E106" s="5">
        <f>INDEX('Raw Data'!$A$2:$A$377,MATCH(1,INDEX(('Raw Data'!$B$2:$B$377=A106)*('Raw Data'!$E$2:$E$377=D106),0),0))</f>
        <v/>
      </c>
      <c r="F106" s="7">
        <f>_xlfn.MAXIFS('Raw Data'!$E$2:$E$377,'Raw Data'!$B$2:$B$377,A106)</f>
        <v/>
      </c>
      <c r="G106" s="5">
        <f>INDEX('Raw Data'!$A$2:$A$377,MATCH(1,INDEX(('Raw Data'!$B$2:$B$377=A106)*('Raw Data'!$E$2:$E$377=F106),0),0))</f>
        <v/>
      </c>
      <c r="H106" s="7">
        <f>F106-D106</f>
        <v/>
      </c>
      <c r="I106" s="5">
        <f>COUNTIF('Raw Data'!$B$2:$B$377,A106)</f>
        <v/>
      </c>
    </row>
    <row r="107">
      <c r="A107" s="5" t="n">
        <v>60419</v>
      </c>
      <c r="B107" s="6">
        <f>INDEX('Raw Data'!$D$2:$D$377,MATCH(A107,'Raw Data'!$B$2:$B$377,0))</f>
        <v/>
      </c>
      <c r="C107" s="5">
        <f>INDEX('Raw Data'!$C$2:$C$377,MATCH(A107,'Raw Data'!$B$2:$B$377,0))</f>
        <v/>
      </c>
      <c r="D107" s="7">
        <f>_xlfn.MINIFS('Raw Data'!$E$2:$E$377,'Raw Data'!$B$2:$B$377,A107)</f>
        <v/>
      </c>
      <c r="E107" s="5">
        <f>INDEX('Raw Data'!$A$2:$A$377,MATCH(1,INDEX(('Raw Data'!$B$2:$B$377=A107)*('Raw Data'!$E$2:$E$377=D107),0),0))</f>
        <v/>
      </c>
      <c r="F107" s="7">
        <f>_xlfn.MAXIFS('Raw Data'!$E$2:$E$377,'Raw Data'!$B$2:$B$377,A107)</f>
        <v/>
      </c>
      <c r="G107" s="5">
        <f>INDEX('Raw Data'!$A$2:$A$377,MATCH(1,INDEX(('Raw Data'!$B$2:$B$377=A107)*('Raw Data'!$E$2:$E$377=F107),0),0))</f>
        <v/>
      </c>
      <c r="H107" s="7">
        <f>F107-D107</f>
        <v/>
      </c>
      <c r="I107" s="5">
        <f>COUNTIF('Raw Data'!$B$2:$B$377,A107)</f>
        <v/>
      </c>
    </row>
    <row r="108">
      <c r="A108" s="5" t="n">
        <v>60430</v>
      </c>
      <c r="B108" s="6">
        <f>INDEX('Raw Data'!$D$2:$D$377,MATCH(A108,'Raw Data'!$B$2:$B$377,0))</f>
        <v/>
      </c>
      <c r="C108" s="5">
        <f>INDEX('Raw Data'!$C$2:$C$377,MATCH(A108,'Raw Data'!$B$2:$B$377,0))</f>
        <v/>
      </c>
      <c r="D108" s="7">
        <f>_xlfn.MINIFS('Raw Data'!$E$2:$E$377,'Raw Data'!$B$2:$B$377,A108)</f>
        <v/>
      </c>
      <c r="E108" s="5">
        <f>INDEX('Raw Data'!$A$2:$A$377,MATCH(1,INDEX(('Raw Data'!$B$2:$B$377=A108)*('Raw Data'!$E$2:$E$377=D108),0),0))</f>
        <v/>
      </c>
      <c r="F108" s="7">
        <f>_xlfn.MAXIFS('Raw Data'!$E$2:$E$377,'Raw Data'!$B$2:$B$377,A108)</f>
        <v/>
      </c>
      <c r="G108" s="5">
        <f>INDEX('Raw Data'!$A$2:$A$377,MATCH(1,INDEX(('Raw Data'!$B$2:$B$377=A108)*('Raw Data'!$E$2:$E$377=F108),0),0))</f>
        <v/>
      </c>
      <c r="H108" s="7">
        <f>F108-D108</f>
        <v/>
      </c>
      <c r="I108" s="5">
        <f>COUNTIF('Raw Data'!$B$2:$B$377,A108)</f>
        <v/>
      </c>
    </row>
    <row r="109">
      <c r="A109" s="5" t="n">
        <v>60443</v>
      </c>
      <c r="B109" s="6">
        <f>INDEX('Raw Data'!$D$2:$D$377,MATCH(A109,'Raw Data'!$B$2:$B$377,0))</f>
        <v/>
      </c>
      <c r="C109" s="5">
        <f>INDEX('Raw Data'!$C$2:$C$377,MATCH(A109,'Raw Data'!$B$2:$B$377,0))</f>
        <v/>
      </c>
      <c r="D109" s="7">
        <f>_xlfn.MINIFS('Raw Data'!$E$2:$E$377,'Raw Data'!$B$2:$B$377,A109)</f>
        <v/>
      </c>
      <c r="E109" s="5">
        <f>INDEX('Raw Data'!$A$2:$A$377,MATCH(1,INDEX(('Raw Data'!$B$2:$B$377=A109)*('Raw Data'!$E$2:$E$377=D109),0),0))</f>
        <v/>
      </c>
      <c r="F109" s="7">
        <f>_xlfn.MAXIFS('Raw Data'!$E$2:$E$377,'Raw Data'!$B$2:$B$377,A109)</f>
        <v/>
      </c>
      <c r="G109" s="5">
        <f>INDEX('Raw Data'!$A$2:$A$377,MATCH(1,INDEX(('Raw Data'!$B$2:$B$377=A109)*('Raw Data'!$E$2:$E$377=F109),0),0))</f>
        <v/>
      </c>
      <c r="H109" s="7">
        <f>F109-D109</f>
        <v/>
      </c>
      <c r="I109" s="5">
        <f>COUNTIF('Raw Data'!$B$2:$B$377,A109)</f>
        <v/>
      </c>
    </row>
    <row r="110">
      <c r="A110" s="5" t="n">
        <v>60444</v>
      </c>
      <c r="B110" s="6">
        <f>INDEX('Raw Data'!$D$2:$D$377,MATCH(A110,'Raw Data'!$B$2:$B$377,0))</f>
        <v/>
      </c>
      <c r="C110" s="5">
        <f>INDEX('Raw Data'!$C$2:$C$377,MATCH(A110,'Raw Data'!$B$2:$B$377,0))</f>
        <v/>
      </c>
      <c r="D110" s="7">
        <f>_xlfn.MINIFS('Raw Data'!$E$2:$E$377,'Raw Data'!$B$2:$B$377,A110)</f>
        <v/>
      </c>
      <c r="E110" s="5">
        <f>INDEX('Raw Data'!$A$2:$A$377,MATCH(1,INDEX(('Raw Data'!$B$2:$B$377=A110)*('Raw Data'!$E$2:$E$377=D110),0),0))</f>
        <v/>
      </c>
      <c r="F110" s="7">
        <f>_xlfn.MAXIFS('Raw Data'!$E$2:$E$377,'Raw Data'!$B$2:$B$377,A110)</f>
        <v/>
      </c>
      <c r="G110" s="5">
        <f>INDEX('Raw Data'!$A$2:$A$377,MATCH(1,INDEX(('Raw Data'!$B$2:$B$377=A110)*('Raw Data'!$E$2:$E$377=F110),0),0))</f>
        <v/>
      </c>
      <c r="H110" s="7">
        <f>F110-D110</f>
        <v/>
      </c>
      <c r="I110" s="5">
        <f>COUNTIF('Raw Data'!$B$2:$B$377,A110)</f>
        <v/>
      </c>
    </row>
    <row r="111">
      <c r="A111" s="5" t="n">
        <v>60445</v>
      </c>
      <c r="B111" s="6">
        <f>INDEX('Raw Data'!$D$2:$D$377,MATCH(A111,'Raw Data'!$B$2:$B$377,0))</f>
        <v/>
      </c>
      <c r="C111" s="5">
        <f>INDEX('Raw Data'!$C$2:$C$377,MATCH(A111,'Raw Data'!$B$2:$B$377,0))</f>
        <v/>
      </c>
      <c r="D111" s="7">
        <f>_xlfn.MINIFS('Raw Data'!$E$2:$E$377,'Raw Data'!$B$2:$B$377,A111)</f>
        <v/>
      </c>
      <c r="E111" s="5">
        <f>INDEX('Raw Data'!$A$2:$A$377,MATCH(1,INDEX(('Raw Data'!$B$2:$B$377=A111)*('Raw Data'!$E$2:$E$377=D111),0),0))</f>
        <v/>
      </c>
      <c r="F111" s="7">
        <f>_xlfn.MAXIFS('Raw Data'!$E$2:$E$377,'Raw Data'!$B$2:$B$377,A111)</f>
        <v/>
      </c>
      <c r="G111" s="5">
        <f>INDEX('Raw Data'!$A$2:$A$377,MATCH(1,INDEX(('Raw Data'!$B$2:$B$377=A111)*('Raw Data'!$E$2:$E$377=F111),0),0))</f>
        <v/>
      </c>
      <c r="H111" s="7">
        <f>F111-D111</f>
        <v/>
      </c>
      <c r="I111" s="5">
        <f>COUNTIF('Raw Data'!$B$2:$B$377,A111)</f>
        <v/>
      </c>
    </row>
    <row r="112">
      <c r="A112" s="5" t="n">
        <v>60446</v>
      </c>
      <c r="B112" s="6">
        <f>INDEX('Raw Data'!$D$2:$D$377,MATCH(A112,'Raw Data'!$B$2:$B$377,0))</f>
        <v/>
      </c>
      <c r="C112" s="5">
        <f>INDEX('Raw Data'!$C$2:$C$377,MATCH(A112,'Raw Data'!$B$2:$B$377,0))</f>
        <v/>
      </c>
      <c r="D112" s="7">
        <f>_xlfn.MINIFS('Raw Data'!$E$2:$E$377,'Raw Data'!$B$2:$B$377,A112)</f>
        <v/>
      </c>
      <c r="E112" s="5">
        <f>INDEX('Raw Data'!$A$2:$A$377,MATCH(1,INDEX(('Raw Data'!$B$2:$B$377=A112)*('Raw Data'!$E$2:$E$377=D112),0),0))</f>
        <v/>
      </c>
      <c r="F112" s="7">
        <f>_xlfn.MAXIFS('Raw Data'!$E$2:$E$377,'Raw Data'!$B$2:$B$377,A112)</f>
        <v/>
      </c>
      <c r="G112" s="5">
        <f>INDEX('Raw Data'!$A$2:$A$377,MATCH(1,INDEX(('Raw Data'!$B$2:$B$377=A112)*('Raw Data'!$E$2:$E$377=F112),0),0))</f>
        <v/>
      </c>
      <c r="H112" s="7">
        <f>F112-D112</f>
        <v/>
      </c>
      <c r="I112" s="5">
        <f>COUNTIF('Raw Data'!$B$2:$B$377,A112)</f>
        <v/>
      </c>
    </row>
    <row r="113">
      <c r="A113" s="5" t="n">
        <v>60447</v>
      </c>
      <c r="B113" s="6">
        <f>INDEX('Raw Data'!$D$2:$D$377,MATCH(A113,'Raw Data'!$B$2:$B$377,0))</f>
        <v/>
      </c>
      <c r="C113" s="5">
        <f>INDEX('Raw Data'!$C$2:$C$377,MATCH(A113,'Raw Data'!$B$2:$B$377,0))</f>
        <v/>
      </c>
      <c r="D113" s="7">
        <f>_xlfn.MINIFS('Raw Data'!$E$2:$E$377,'Raw Data'!$B$2:$B$377,A113)</f>
        <v/>
      </c>
      <c r="E113" s="5">
        <f>INDEX('Raw Data'!$A$2:$A$377,MATCH(1,INDEX(('Raw Data'!$B$2:$B$377=A113)*('Raw Data'!$E$2:$E$377=D113),0),0))</f>
        <v/>
      </c>
      <c r="F113" s="7">
        <f>_xlfn.MAXIFS('Raw Data'!$E$2:$E$377,'Raw Data'!$B$2:$B$377,A113)</f>
        <v/>
      </c>
      <c r="G113" s="5">
        <f>INDEX('Raw Data'!$A$2:$A$377,MATCH(1,INDEX(('Raw Data'!$B$2:$B$377=A113)*('Raw Data'!$E$2:$E$377=F113),0),0))</f>
        <v/>
      </c>
      <c r="H113" s="7">
        <f>F113-D113</f>
        <v/>
      </c>
      <c r="I113" s="5">
        <f>COUNTIF('Raw Data'!$B$2:$B$377,A113)</f>
        <v/>
      </c>
    </row>
    <row r="114">
      <c r="A114" s="5" t="n">
        <v>60449</v>
      </c>
      <c r="B114" s="6">
        <f>INDEX('Raw Data'!$D$2:$D$377,MATCH(A114,'Raw Data'!$B$2:$B$377,0))</f>
        <v/>
      </c>
      <c r="C114" s="5">
        <f>INDEX('Raw Data'!$C$2:$C$377,MATCH(A114,'Raw Data'!$B$2:$B$377,0))</f>
        <v/>
      </c>
      <c r="D114" s="7">
        <f>_xlfn.MINIFS('Raw Data'!$E$2:$E$377,'Raw Data'!$B$2:$B$377,A114)</f>
        <v/>
      </c>
      <c r="E114" s="5">
        <f>INDEX('Raw Data'!$A$2:$A$377,MATCH(1,INDEX(('Raw Data'!$B$2:$B$377=A114)*('Raw Data'!$E$2:$E$377=D114),0),0))</f>
        <v/>
      </c>
      <c r="F114" s="7">
        <f>_xlfn.MAXIFS('Raw Data'!$E$2:$E$377,'Raw Data'!$B$2:$B$377,A114)</f>
        <v/>
      </c>
      <c r="G114" s="5">
        <f>INDEX('Raw Data'!$A$2:$A$377,MATCH(1,INDEX(('Raw Data'!$B$2:$B$377=A114)*('Raw Data'!$E$2:$E$377=F114),0),0))</f>
        <v/>
      </c>
      <c r="H114" s="7">
        <f>F114-D114</f>
        <v/>
      </c>
      <c r="I114" s="5">
        <f>COUNTIF('Raw Data'!$B$2:$B$377,A114)</f>
        <v/>
      </c>
    </row>
    <row r="115">
      <c r="A115" s="5" t="n">
        <v>60451</v>
      </c>
      <c r="B115" s="6">
        <f>INDEX('Raw Data'!$D$2:$D$377,MATCH(A115,'Raw Data'!$B$2:$B$377,0))</f>
        <v/>
      </c>
      <c r="C115" s="5">
        <f>INDEX('Raw Data'!$C$2:$C$377,MATCH(A115,'Raw Data'!$B$2:$B$377,0))</f>
        <v/>
      </c>
      <c r="D115" s="7">
        <f>_xlfn.MINIFS('Raw Data'!$E$2:$E$377,'Raw Data'!$B$2:$B$377,A115)</f>
        <v/>
      </c>
      <c r="E115" s="5">
        <f>INDEX('Raw Data'!$A$2:$A$377,MATCH(1,INDEX(('Raw Data'!$B$2:$B$377=A115)*('Raw Data'!$E$2:$E$377=D115),0),0))</f>
        <v/>
      </c>
      <c r="F115" s="7">
        <f>_xlfn.MAXIFS('Raw Data'!$E$2:$E$377,'Raw Data'!$B$2:$B$377,A115)</f>
        <v/>
      </c>
      <c r="G115" s="5">
        <f>INDEX('Raw Data'!$A$2:$A$377,MATCH(1,INDEX(('Raw Data'!$B$2:$B$377=A115)*('Raw Data'!$E$2:$E$377=F115),0),0))</f>
        <v/>
      </c>
      <c r="H115" s="7">
        <f>F115-D115</f>
        <v/>
      </c>
      <c r="I115" s="5">
        <f>COUNTIF('Raw Data'!$B$2:$B$377,A115)</f>
        <v/>
      </c>
    </row>
    <row r="116">
      <c r="A116" s="5" t="n">
        <v>60452</v>
      </c>
      <c r="B116" s="6">
        <f>INDEX('Raw Data'!$D$2:$D$377,MATCH(A116,'Raw Data'!$B$2:$B$377,0))</f>
        <v/>
      </c>
      <c r="C116" s="5">
        <f>INDEX('Raw Data'!$C$2:$C$377,MATCH(A116,'Raw Data'!$B$2:$B$377,0))</f>
        <v/>
      </c>
      <c r="D116" s="7">
        <f>_xlfn.MINIFS('Raw Data'!$E$2:$E$377,'Raw Data'!$B$2:$B$377,A116)</f>
        <v/>
      </c>
      <c r="E116" s="5">
        <f>INDEX('Raw Data'!$A$2:$A$377,MATCH(1,INDEX(('Raw Data'!$B$2:$B$377=A116)*('Raw Data'!$E$2:$E$377=D116),0),0))</f>
        <v/>
      </c>
      <c r="F116" s="7">
        <f>_xlfn.MAXIFS('Raw Data'!$E$2:$E$377,'Raw Data'!$B$2:$B$377,A116)</f>
        <v/>
      </c>
      <c r="G116" s="5">
        <f>INDEX('Raw Data'!$A$2:$A$377,MATCH(1,INDEX(('Raw Data'!$B$2:$B$377=A116)*('Raw Data'!$E$2:$E$377=F116),0),0))</f>
        <v/>
      </c>
      <c r="H116" s="7">
        <f>F116-D116</f>
        <v/>
      </c>
      <c r="I116" s="5">
        <f>COUNTIF('Raw Data'!$B$2:$B$377,A116)</f>
        <v/>
      </c>
    </row>
    <row r="117">
      <c r="A117" s="5" t="n">
        <v>60453</v>
      </c>
      <c r="B117" s="6">
        <f>INDEX('Raw Data'!$D$2:$D$377,MATCH(A117,'Raw Data'!$B$2:$B$377,0))</f>
        <v/>
      </c>
      <c r="C117" s="5">
        <f>INDEX('Raw Data'!$C$2:$C$377,MATCH(A117,'Raw Data'!$B$2:$B$377,0))</f>
        <v/>
      </c>
      <c r="D117" s="7">
        <f>_xlfn.MINIFS('Raw Data'!$E$2:$E$377,'Raw Data'!$B$2:$B$377,A117)</f>
        <v/>
      </c>
      <c r="E117" s="5">
        <f>INDEX('Raw Data'!$A$2:$A$377,MATCH(1,INDEX(('Raw Data'!$B$2:$B$377=A117)*('Raw Data'!$E$2:$E$377=D117),0),0))</f>
        <v/>
      </c>
      <c r="F117" s="7">
        <f>_xlfn.MAXIFS('Raw Data'!$E$2:$E$377,'Raw Data'!$B$2:$B$377,A117)</f>
        <v/>
      </c>
      <c r="G117" s="5">
        <f>INDEX('Raw Data'!$A$2:$A$377,MATCH(1,INDEX(('Raw Data'!$B$2:$B$377=A117)*('Raw Data'!$E$2:$E$377=F117),0),0))</f>
        <v/>
      </c>
      <c r="H117" s="7">
        <f>F117-D117</f>
        <v/>
      </c>
      <c r="I117" s="5">
        <f>COUNTIF('Raw Data'!$B$2:$B$377,A117)</f>
        <v/>
      </c>
    </row>
    <row r="118">
      <c r="A118" s="5" t="n">
        <v>60454</v>
      </c>
      <c r="B118" s="6">
        <f>INDEX('Raw Data'!$D$2:$D$377,MATCH(A118,'Raw Data'!$B$2:$B$377,0))</f>
        <v/>
      </c>
      <c r="C118" s="5">
        <f>INDEX('Raw Data'!$C$2:$C$377,MATCH(A118,'Raw Data'!$B$2:$B$377,0))</f>
        <v/>
      </c>
      <c r="D118" s="7">
        <f>_xlfn.MINIFS('Raw Data'!$E$2:$E$377,'Raw Data'!$B$2:$B$377,A118)</f>
        <v/>
      </c>
      <c r="E118" s="5">
        <f>INDEX('Raw Data'!$A$2:$A$377,MATCH(1,INDEX(('Raw Data'!$B$2:$B$377=A118)*('Raw Data'!$E$2:$E$377=D118),0),0))</f>
        <v/>
      </c>
      <c r="F118" s="7">
        <f>_xlfn.MAXIFS('Raw Data'!$E$2:$E$377,'Raw Data'!$B$2:$B$377,A118)</f>
        <v/>
      </c>
      <c r="G118" s="5">
        <f>INDEX('Raw Data'!$A$2:$A$377,MATCH(1,INDEX(('Raw Data'!$B$2:$B$377=A118)*('Raw Data'!$E$2:$E$377=F118),0),0))</f>
        <v/>
      </c>
      <c r="H118" s="7">
        <f>F118-D118</f>
        <v/>
      </c>
      <c r="I118" s="5">
        <f>COUNTIF('Raw Data'!$B$2:$B$377,A118)</f>
        <v/>
      </c>
    </row>
    <row r="119">
      <c r="A119" s="5" t="n">
        <v>60455</v>
      </c>
      <c r="B119" s="6">
        <f>INDEX('Raw Data'!$D$2:$D$377,MATCH(A119,'Raw Data'!$B$2:$B$377,0))</f>
        <v/>
      </c>
      <c r="C119" s="5">
        <f>INDEX('Raw Data'!$C$2:$C$377,MATCH(A119,'Raw Data'!$B$2:$B$377,0))</f>
        <v/>
      </c>
      <c r="D119" s="7">
        <f>_xlfn.MINIFS('Raw Data'!$E$2:$E$377,'Raw Data'!$B$2:$B$377,A119)</f>
        <v/>
      </c>
      <c r="E119" s="5">
        <f>INDEX('Raw Data'!$A$2:$A$377,MATCH(1,INDEX(('Raw Data'!$B$2:$B$377=A119)*('Raw Data'!$E$2:$E$377=D119),0),0))</f>
        <v/>
      </c>
      <c r="F119" s="7">
        <f>_xlfn.MAXIFS('Raw Data'!$E$2:$E$377,'Raw Data'!$B$2:$B$377,A119)</f>
        <v/>
      </c>
      <c r="G119" s="5">
        <f>INDEX('Raw Data'!$A$2:$A$377,MATCH(1,INDEX(('Raw Data'!$B$2:$B$377=A119)*('Raw Data'!$E$2:$E$377=F119),0),0))</f>
        <v/>
      </c>
      <c r="H119" s="7">
        <f>F119-D119</f>
        <v/>
      </c>
      <c r="I119" s="5">
        <f>COUNTIF('Raw Data'!$B$2:$B$377,A119)</f>
        <v/>
      </c>
    </row>
    <row r="120">
      <c r="A120" s="5" t="n">
        <v>60456</v>
      </c>
      <c r="B120" s="6">
        <f>INDEX('Raw Data'!$D$2:$D$377,MATCH(A120,'Raw Data'!$B$2:$B$377,0))</f>
        <v/>
      </c>
      <c r="C120" s="5">
        <f>INDEX('Raw Data'!$C$2:$C$377,MATCH(A120,'Raw Data'!$B$2:$B$377,0))</f>
        <v/>
      </c>
      <c r="D120" s="7">
        <f>_xlfn.MINIFS('Raw Data'!$E$2:$E$377,'Raw Data'!$B$2:$B$377,A120)</f>
        <v/>
      </c>
      <c r="E120" s="5">
        <f>INDEX('Raw Data'!$A$2:$A$377,MATCH(1,INDEX(('Raw Data'!$B$2:$B$377=A120)*('Raw Data'!$E$2:$E$377=D120),0),0))</f>
        <v/>
      </c>
      <c r="F120" s="7">
        <f>_xlfn.MAXIFS('Raw Data'!$E$2:$E$377,'Raw Data'!$B$2:$B$377,A120)</f>
        <v/>
      </c>
      <c r="G120" s="5">
        <f>INDEX('Raw Data'!$A$2:$A$377,MATCH(1,INDEX(('Raw Data'!$B$2:$B$377=A120)*('Raw Data'!$E$2:$E$377=F120),0),0))</f>
        <v/>
      </c>
      <c r="H120" s="7">
        <f>F120-D120</f>
        <v/>
      </c>
      <c r="I120" s="5">
        <f>COUNTIF('Raw Data'!$B$2:$B$377,A120)</f>
        <v/>
      </c>
    </row>
    <row r="121">
      <c r="A121" s="5" t="n">
        <v>60457</v>
      </c>
      <c r="B121" s="6">
        <f>INDEX('Raw Data'!$D$2:$D$377,MATCH(A121,'Raw Data'!$B$2:$B$377,0))</f>
        <v/>
      </c>
      <c r="C121" s="5">
        <f>INDEX('Raw Data'!$C$2:$C$377,MATCH(A121,'Raw Data'!$B$2:$B$377,0))</f>
        <v/>
      </c>
      <c r="D121" s="7">
        <f>_xlfn.MINIFS('Raw Data'!$E$2:$E$377,'Raw Data'!$B$2:$B$377,A121)</f>
        <v/>
      </c>
      <c r="E121" s="5">
        <f>INDEX('Raw Data'!$A$2:$A$377,MATCH(1,INDEX(('Raw Data'!$B$2:$B$377=A121)*('Raw Data'!$E$2:$E$377=D121),0),0))</f>
        <v/>
      </c>
      <c r="F121" s="7">
        <f>_xlfn.MAXIFS('Raw Data'!$E$2:$E$377,'Raw Data'!$B$2:$B$377,A121)</f>
        <v/>
      </c>
      <c r="G121" s="5">
        <f>INDEX('Raw Data'!$A$2:$A$377,MATCH(1,INDEX(('Raw Data'!$B$2:$B$377=A121)*('Raw Data'!$E$2:$E$377=F121),0),0))</f>
        <v/>
      </c>
      <c r="H121" s="7">
        <f>F121-D121</f>
        <v/>
      </c>
      <c r="I121" s="5">
        <f>COUNTIF('Raw Data'!$B$2:$B$377,A121)</f>
        <v/>
      </c>
    </row>
    <row r="122">
      <c r="A122" s="5" t="n">
        <v>60458</v>
      </c>
      <c r="B122" s="6">
        <f>INDEX('Raw Data'!$D$2:$D$377,MATCH(A122,'Raw Data'!$B$2:$B$377,0))</f>
        <v/>
      </c>
      <c r="C122" s="5">
        <f>INDEX('Raw Data'!$C$2:$C$377,MATCH(A122,'Raw Data'!$B$2:$B$377,0))</f>
        <v/>
      </c>
      <c r="D122" s="7">
        <f>_xlfn.MINIFS('Raw Data'!$E$2:$E$377,'Raw Data'!$B$2:$B$377,A122)</f>
        <v/>
      </c>
      <c r="E122" s="5">
        <f>INDEX('Raw Data'!$A$2:$A$377,MATCH(1,INDEX(('Raw Data'!$B$2:$B$377=A122)*('Raw Data'!$E$2:$E$377=D122),0),0))</f>
        <v/>
      </c>
      <c r="F122" s="7">
        <f>_xlfn.MAXIFS('Raw Data'!$E$2:$E$377,'Raw Data'!$B$2:$B$377,A122)</f>
        <v/>
      </c>
      <c r="G122" s="5">
        <f>INDEX('Raw Data'!$A$2:$A$377,MATCH(1,INDEX(('Raw Data'!$B$2:$B$377=A122)*('Raw Data'!$E$2:$E$377=F122),0),0))</f>
        <v/>
      </c>
      <c r="H122" s="7">
        <f>F122-D122</f>
        <v/>
      </c>
      <c r="I122" s="5">
        <f>COUNTIF('Raw Data'!$B$2:$B$377,A122)</f>
        <v/>
      </c>
    </row>
    <row r="123">
      <c r="A123" s="5" t="n">
        <v>60459</v>
      </c>
      <c r="B123" s="6">
        <f>INDEX('Raw Data'!$D$2:$D$377,MATCH(A123,'Raw Data'!$B$2:$B$377,0))</f>
        <v/>
      </c>
      <c r="C123" s="5">
        <f>INDEX('Raw Data'!$C$2:$C$377,MATCH(A123,'Raw Data'!$B$2:$B$377,0))</f>
        <v/>
      </c>
      <c r="D123" s="7">
        <f>_xlfn.MINIFS('Raw Data'!$E$2:$E$377,'Raw Data'!$B$2:$B$377,A123)</f>
        <v/>
      </c>
      <c r="E123" s="5">
        <f>INDEX('Raw Data'!$A$2:$A$377,MATCH(1,INDEX(('Raw Data'!$B$2:$B$377=A123)*('Raw Data'!$E$2:$E$377=D123),0),0))</f>
        <v/>
      </c>
      <c r="F123" s="7">
        <f>_xlfn.MAXIFS('Raw Data'!$E$2:$E$377,'Raw Data'!$B$2:$B$377,A123)</f>
        <v/>
      </c>
      <c r="G123" s="5">
        <f>INDEX('Raw Data'!$A$2:$A$377,MATCH(1,INDEX(('Raw Data'!$B$2:$B$377=A123)*('Raw Data'!$E$2:$E$377=F123),0),0))</f>
        <v/>
      </c>
      <c r="H123" s="7">
        <f>F123-D123</f>
        <v/>
      </c>
      <c r="I123" s="5">
        <f>COUNTIF('Raw Data'!$B$2:$B$377,A123)</f>
        <v/>
      </c>
    </row>
    <row r="124">
      <c r="A124" s="5" t="n">
        <v>60462</v>
      </c>
      <c r="B124" s="6">
        <f>INDEX('Raw Data'!$D$2:$D$377,MATCH(A124,'Raw Data'!$B$2:$B$377,0))</f>
        <v/>
      </c>
      <c r="C124" s="5">
        <f>INDEX('Raw Data'!$C$2:$C$377,MATCH(A124,'Raw Data'!$B$2:$B$377,0))</f>
        <v/>
      </c>
      <c r="D124" s="7">
        <f>_xlfn.MINIFS('Raw Data'!$E$2:$E$377,'Raw Data'!$B$2:$B$377,A124)</f>
        <v/>
      </c>
      <c r="E124" s="5">
        <f>INDEX('Raw Data'!$A$2:$A$377,MATCH(1,INDEX(('Raw Data'!$B$2:$B$377=A124)*('Raw Data'!$E$2:$E$377=D124),0),0))</f>
        <v/>
      </c>
      <c r="F124" s="7">
        <f>_xlfn.MAXIFS('Raw Data'!$E$2:$E$377,'Raw Data'!$B$2:$B$377,A124)</f>
        <v/>
      </c>
      <c r="G124" s="5">
        <f>INDEX('Raw Data'!$A$2:$A$377,MATCH(1,INDEX(('Raw Data'!$B$2:$B$377=A124)*('Raw Data'!$E$2:$E$377=F124),0),0))</f>
        <v/>
      </c>
      <c r="H124" s="7">
        <f>F124-D124</f>
        <v/>
      </c>
      <c r="I124" s="5">
        <f>COUNTIF('Raw Data'!$B$2:$B$377,A124)</f>
        <v/>
      </c>
    </row>
    <row r="125">
      <c r="A125" s="5" t="n">
        <v>60463</v>
      </c>
      <c r="B125" s="6">
        <f>INDEX('Raw Data'!$D$2:$D$377,MATCH(A125,'Raw Data'!$B$2:$B$377,0))</f>
        <v/>
      </c>
      <c r="C125" s="5">
        <f>INDEX('Raw Data'!$C$2:$C$377,MATCH(A125,'Raw Data'!$B$2:$B$377,0))</f>
        <v/>
      </c>
      <c r="D125" s="7">
        <f>_xlfn.MINIFS('Raw Data'!$E$2:$E$377,'Raw Data'!$B$2:$B$377,A125)</f>
        <v/>
      </c>
      <c r="E125" s="5">
        <f>INDEX('Raw Data'!$A$2:$A$377,MATCH(1,INDEX(('Raw Data'!$B$2:$B$377=A125)*('Raw Data'!$E$2:$E$377=D125),0),0))</f>
        <v/>
      </c>
      <c r="F125" s="7">
        <f>_xlfn.MAXIFS('Raw Data'!$E$2:$E$377,'Raw Data'!$B$2:$B$377,A125)</f>
        <v/>
      </c>
      <c r="G125" s="5">
        <f>INDEX('Raw Data'!$A$2:$A$377,MATCH(1,INDEX(('Raw Data'!$B$2:$B$377=A125)*('Raw Data'!$E$2:$E$377=F125),0),0))</f>
        <v/>
      </c>
      <c r="H125" s="7">
        <f>F125-D125</f>
        <v/>
      </c>
      <c r="I125" s="5">
        <f>COUNTIF('Raw Data'!$B$2:$B$377,A125)</f>
        <v/>
      </c>
    </row>
    <row r="126">
      <c r="A126" s="5" t="n">
        <v>60464</v>
      </c>
      <c r="B126" s="6">
        <f>INDEX('Raw Data'!$D$2:$D$377,MATCH(A126,'Raw Data'!$B$2:$B$377,0))</f>
        <v/>
      </c>
      <c r="C126" s="5">
        <f>INDEX('Raw Data'!$C$2:$C$377,MATCH(A126,'Raw Data'!$B$2:$B$377,0))</f>
        <v/>
      </c>
      <c r="D126" s="7">
        <f>_xlfn.MINIFS('Raw Data'!$E$2:$E$377,'Raw Data'!$B$2:$B$377,A126)</f>
        <v/>
      </c>
      <c r="E126" s="5">
        <f>INDEX('Raw Data'!$A$2:$A$377,MATCH(1,INDEX(('Raw Data'!$B$2:$B$377=A126)*('Raw Data'!$E$2:$E$377=D126),0),0))</f>
        <v/>
      </c>
      <c r="F126" s="7">
        <f>_xlfn.MAXIFS('Raw Data'!$E$2:$E$377,'Raw Data'!$B$2:$B$377,A126)</f>
        <v/>
      </c>
      <c r="G126" s="5">
        <f>INDEX('Raw Data'!$A$2:$A$377,MATCH(1,INDEX(('Raw Data'!$B$2:$B$377=A126)*('Raw Data'!$E$2:$E$377=F126),0),0))</f>
        <v/>
      </c>
      <c r="H126" s="7">
        <f>F126-D126</f>
        <v/>
      </c>
      <c r="I126" s="5">
        <f>COUNTIF('Raw Data'!$B$2:$B$377,A126)</f>
        <v/>
      </c>
    </row>
    <row r="127">
      <c r="A127" s="5" t="n">
        <v>60465</v>
      </c>
      <c r="B127" s="6">
        <f>INDEX('Raw Data'!$D$2:$D$377,MATCH(A127,'Raw Data'!$B$2:$B$377,0))</f>
        <v/>
      </c>
      <c r="C127" s="5">
        <f>INDEX('Raw Data'!$C$2:$C$377,MATCH(A127,'Raw Data'!$B$2:$B$377,0))</f>
        <v/>
      </c>
      <c r="D127" s="7">
        <f>_xlfn.MINIFS('Raw Data'!$E$2:$E$377,'Raw Data'!$B$2:$B$377,A127)</f>
        <v/>
      </c>
      <c r="E127" s="5">
        <f>INDEX('Raw Data'!$A$2:$A$377,MATCH(1,INDEX(('Raw Data'!$B$2:$B$377=A127)*('Raw Data'!$E$2:$E$377=D127),0),0))</f>
        <v/>
      </c>
      <c r="F127" s="7">
        <f>_xlfn.MAXIFS('Raw Data'!$E$2:$E$377,'Raw Data'!$B$2:$B$377,A127)</f>
        <v/>
      </c>
      <c r="G127" s="5">
        <f>INDEX('Raw Data'!$A$2:$A$377,MATCH(1,INDEX(('Raw Data'!$B$2:$B$377=A127)*('Raw Data'!$E$2:$E$377=F127),0),0))</f>
        <v/>
      </c>
      <c r="H127" s="7">
        <f>F127-D127</f>
        <v/>
      </c>
      <c r="I127" s="5">
        <f>COUNTIF('Raw Data'!$B$2:$B$377,A127)</f>
        <v/>
      </c>
    </row>
    <row r="128">
      <c r="A128" s="5" t="n">
        <v>60466</v>
      </c>
      <c r="B128" s="6">
        <f>INDEX('Raw Data'!$D$2:$D$377,MATCH(A128,'Raw Data'!$B$2:$B$377,0))</f>
        <v/>
      </c>
      <c r="C128" s="5">
        <f>INDEX('Raw Data'!$C$2:$C$377,MATCH(A128,'Raw Data'!$B$2:$B$377,0))</f>
        <v/>
      </c>
      <c r="D128" s="7">
        <f>_xlfn.MINIFS('Raw Data'!$E$2:$E$377,'Raw Data'!$B$2:$B$377,A128)</f>
        <v/>
      </c>
      <c r="E128" s="5">
        <f>INDEX('Raw Data'!$A$2:$A$377,MATCH(1,INDEX(('Raw Data'!$B$2:$B$377=A128)*('Raw Data'!$E$2:$E$377=D128),0),0))</f>
        <v/>
      </c>
      <c r="F128" s="7">
        <f>_xlfn.MAXIFS('Raw Data'!$E$2:$E$377,'Raw Data'!$B$2:$B$377,A128)</f>
        <v/>
      </c>
      <c r="G128" s="5">
        <f>INDEX('Raw Data'!$A$2:$A$377,MATCH(1,INDEX(('Raw Data'!$B$2:$B$377=A128)*('Raw Data'!$E$2:$E$377=F128),0),0))</f>
        <v/>
      </c>
      <c r="H128" s="7">
        <f>F128-D128</f>
        <v/>
      </c>
      <c r="I128" s="5">
        <f>COUNTIF('Raw Data'!$B$2:$B$377,A128)</f>
        <v/>
      </c>
    </row>
    <row r="129">
      <c r="A129" s="5" t="n">
        <v>60467</v>
      </c>
      <c r="B129" s="6">
        <f>INDEX('Raw Data'!$D$2:$D$377,MATCH(A129,'Raw Data'!$B$2:$B$377,0))</f>
        <v/>
      </c>
      <c r="C129" s="5">
        <f>INDEX('Raw Data'!$C$2:$C$377,MATCH(A129,'Raw Data'!$B$2:$B$377,0))</f>
        <v/>
      </c>
      <c r="D129" s="7">
        <f>_xlfn.MINIFS('Raw Data'!$E$2:$E$377,'Raw Data'!$B$2:$B$377,A129)</f>
        <v/>
      </c>
      <c r="E129" s="5">
        <f>INDEX('Raw Data'!$A$2:$A$377,MATCH(1,INDEX(('Raw Data'!$B$2:$B$377=A129)*('Raw Data'!$E$2:$E$377=D129),0),0))</f>
        <v/>
      </c>
      <c r="F129" s="7">
        <f>_xlfn.MAXIFS('Raw Data'!$E$2:$E$377,'Raw Data'!$B$2:$B$377,A129)</f>
        <v/>
      </c>
      <c r="G129" s="5">
        <f>INDEX('Raw Data'!$A$2:$A$377,MATCH(1,INDEX(('Raw Data'!$B$2:$B$377=A129)*('Raw Data'!$E$2:$E$377=F129),0),0))</f>
        <v/>
      </c>
      <c r="H129" s="7">
        <f>F129-D129</f>
        <v/>
      </c>
      <c r="I129" s="5">
        <f>COUNTIF('Raw Data'!$B$2:$B$377,A129)</f>
        <v/>
      </c>
    </row>
    <row r="130">
      <c r="A130" s="5" t="n">
        <v>60469</v>
      </c>
      <c r="B130" s="6">
        <f>INDEX('Raw Data'!$D$2:$D$377,MATCH(A130,'Raw Data'!$B$2:$B$377,0))</f>
        <v/>
      </c>
      <c r="C130" s="5">
        <f>INDEX('Raw Data'!$C$2:$C$377,MATCH(A130,'Raw Data'!$B$2:$B$377,0))</f>
        <v/>
      </c>
      <c r="D130" s="7">
        <f>_xlfn.MINIFS('Raw Data'!$E$2:$E$377,'Raw Data'!$B$2:$B$377,A130)</f>
        <v/>
      </c>
      <c r="E130" s="5">
        <f>INDEX('Raw Data'!$A$2:$A$377,MATCH(1,INDEX(('Raw Data'!$B$2:$B$377=A130)*('Raw Data'!$E$2:$E$377=D130),0),0))</f>
        <v/>
      </c>
      <c r="F130" s="7">
        <f>_xlfn.MAXIFS('Raw Data'!$E$2:$E$377,'Raw Data'!$B$2:$B$377,A130)</f>
        <v/>
      </c>
      <c r="G130" s="5">
        <f>INDEX('Raw Data'!$A$2:$A$377,MATCH(1,INDEX(('Raw Data'!$B$2:$B$377=A130)*('Raw Data'!$E$2:$E$377=F130),0),0))</f>
        <v/>
      </c>
      <c r="H130" s="7">
        <f>F130-D130</f>
        <v/>
      </c>
      <c r="I130" s="5">
        <f>COUNTIF('Raw Data'!$B$2:$B$377,A130)</f>
        <v/>
      </c>
    </row>
    <row r="131">
      <c r="A131" s="5" t="n">
        <v>60470</v>
      </c>
      <c r="B131" s="6">
        <f>INDEX('Raw Data'!$D$2:$D$377,MATCH(A131,'Raw Data'!$B$2:$B$377,0))</f>
        <v/>
      </c>
      <c r="C131" s="5">
        <f>INDEX('Raw Data'!$C$2:$C$377,MATCH(A131,'Raw Data'!$B$2:$B$377,0))</f>
        <v/>
      </c>
      <c r="D131" s="7">
        <f>_xlfn.MINIFS('Raw Data'!$E$2:$E$377,'Raw Data'!$B$2:$B$377,A131)</f>
        <v/>
      </c>
      <c r="E131" s="5">
        <f>INDEX('Raw Data'!$A$2:$A$377,MATCH(1,INDEX(('Raw Data'!$B$2:$B$377=A131)*('Raw Data'!$E$2:$E$377=D131),0),0))</f>
        <v/>
      </c>
      <c r="F131" s="7">
        <f>_xlfn.MAXIFS('Raw Data'!$E$2:$E$377,'Raw Data'!$B$2:$B$377,A131)</f>
        <v/>
      </c>
      <c r="G131" s="5">
        <f>INDEX('Raw Data'!$A$2:$A$377,MATCH(1,INDEX(('Raw Data'!$B$2:$B$377=A131)*('Raw Data'!$E$2:$E$377=F131),0),0))</f>
        <v/>
      </c>
      <c r="H131" s="7">
        <f>F131-D131</f>
        <v/>
      </c>
      <c r="I131" s="5">
        <f>COUNTIF('Raw Data'!$B$2:$B$377,A131)</f>
        <v/>
      </c>
    </row>
    <row r="132">
      <c r="A132" s="5" t="n">
        <v>60471</v>
      </c>
      <c r="B132" s="6">
        <f>INDEX('Raw Data'!$D$2:$D$377,MATCH(A132,'Raw Data'!$B$2:$B$377,0))</f>
        <v/>
      </c>
      <c r="C132" s="5">
        <f>INDEX('Raw Data'!$C$2:$C$377,MATCH(A132,'Raw Data'!$B$2:$B$377,0))</f>
        <v/>
      </c>
      <c r="D132" s="7">
        <f>_xlfn.MINIFS('Raw Data'!$E$2:$E$377,'Raw Data'!$B$2:$B$377,A132)</f>
        <v/>
      </c>
      <c r="E132" s="5">
        <f>INDEX('Raw Data'!$A$2:$A$377,MATCH(1,INDEX(('Raw Data'!$B$2:$B$377=A132)*('Raw Data'!$E$2:$E$377=D132),0),0))</f>
        <v/>
      </c>
      <c r="F132" s="7">
        <f>_xlfn.MAXIFS('Raw Data'!$E$2:$E$377,'Raw Data'!$B$2:$B$377,A132)</f>
        <v/>
      </c>
      <c r="G132" s="5">
        <f>INDEX('Raw Data'!$A$2:$A$377,MATCH(1,INDEX(('Raw Data'!$B$2:$B$377=A132)*('Raw Data'!$E$2:$E$377=F132),0),0))</f>
        <v/>
      </c>
      <c r="H132" s="7">
        <f>F132-D132</f>
        <v/>
      </c>
      <c r="I132" s="5">
        <f>COUNTIF('Raw Data'!$B$2:$B$377,A132)</f>
        <v/>
      </c>
    </row>
    <row r="133">
      <c r="A133" s="5" t="n">
        <v>60473</v>
      </c>
      <c r="B133" s="6">
        <f>INDEX('Raw Data'!$D$2:$D$377,MATCH(A133,'Raw Data'!$B$2:$B$377,0))</f>
        <v/>
      </c>
      <c r="C133" s="5">
        <f>INDEX('Raw Data'!$C$2:$C$377,MATCH(A133,'Raw Data'!$B$2:$B$377,0))</f>
        <v/>
      </c>
      <c r="D133" s="7">
        <f>_xlfn.MINIFS('Raw Data'!$E$2:$E$377,'Raw Data'!$B$2:$B$377,A133)</f>
        <v/>
      </c>
      <c r="E133" s="5">
        <f>INDEX('Raw Data'!$A$2:$A$377,MATCH(1,INDEX(('Raw Data'!$B$2:$B$377=A133)*('Raw Data'!$E$2:$E$377=D133),0),0))</f>
        <v/>
      </c>
      <c r="F133" s="7">
        <f>_xlfn.MAXIFS('Raw Data'!$E$2:$E$377,'Raw Data'!$B$2:$B$377,A133)</f>
        <v/>
      </c>
      <c r="G133" s="5">
        <f>INDEX('Raw Data'!$A$2:$A$377,MATCH(1,INDEX(('Raw Data'!$B$2:$B$377=A133)*('Raw Data'!$E$2:$E$377=F133),0),0))</f>
        <v/>
      </c>
      <c r="H133" s="7">
        <f>F133-D133</f>
        <v/>
      </c>
      <c r="I133" s="5">
        <f>COUNTIF('Raw Data'!$B$2:$B$377,A133)</f>
        <v/>
      </c>
    </row>
    <row r="134">
      <c r="A134" s="5" t="n">
        <v>60474</v>
      </c>
      <c r="B134" s="6">
        <f>INDEX('Raw Data'!$D$2:$D$377,MATCH(A134,'Raw Data'!$B$2:$B$377,0))</f>
        <v/>
      </c>
      <c r="C134" s="5">
        <f>INDEX('Raw Data'!$C$2:$C$377,MATCH(A134,'Raw Data'!$B$2:$B$377,0))</f>
        <v/>
      </c>
      <c r="D134" s="7">
        <f>_xlfn.MINIFS('Raw Data'!$E$2:$E$377,'Raw Data'!$B$2:$B$377,A134)</f>
        <v/>
      </c>
      <c r="E134" s="5">
        <f>INDEX('Raw Data'!$A$2:$A$377,MATCH(1,INDEX(('Raw Data'!$B$2:$B$377=A134)*('Raw Data'!$E$2:$E$377=D134),0),0))</f>
        <v/>
      </c>
      <c r="F134" s="7">
        <f>_xlfn.MAXIFS('Raw Data'!$E$2:$E$377,'Raw Data'!$B$2:$B$377,A134)</f>
        <v/>
      </c>
      <c r="G134" s="5">
        <f>INDEX('Raw Data'!$A$2:$A$377,MATCH(1,INDEX(('Raw Data'!$B$2:$B$377=A134)*('Raw Data'!$E$2:$E$377=F134),0),0))</f>
        <v/>
      </c>
      <c r="H134" s="7">
        <f>F134-D134</f>
        <v/>
      </c>
      <c r="I134" s="5">
        <f>COUNTIF('Raw Data'!$B$2:$B$377,A134)</f>
        <v/>
      </c>
    </row>
    <row r="135">
      <c r="A135" s="5" t="n">
        <v>60478</v>
      </c>
      <c r="B135" s="6">
        <f>INDEX('Raw Data'!$D$2:$D$377,MATCH(A135,'Raw Data'!$B$2:$B$377,0))</f>
        <v/>
      </c>
      <c r="C135" s="5">
        <f>INDEX('Raw Data'!$C$2:$C$377,MATCH(A135,'Raw Data'!$B$2:$B$377,0))</f>
        <v/>
      </c>
      <c r="D135" s="7">
        <f>_xlfn.MINIFS('Raw Data'!$E$2:$E$377,'Raw Data'!$B$2:$B$377,A135)</f>
        <v/>
      </c>
      <c r="E135" s="5">
        <f>INDEX('Raw Data'!$A$2:$A$377,MATCH(1,INDEX(('Raw Data'!$B$2:$B$377=A135)*('Raw Data'!$E$2:$E$377=D135),0),0))</f>
        <v/>
      </c>
      <c r="F135" s="7">
        <f>_xlfn.MAXIFS('Raw Data'!$E$2:$E$377,'Raw Data'!$B$2:$B$377,A135)</f>
        <v/>
      </c>
      <c r="G135" s="5">
        <f>INDEX('Raw Data'!$A$2:$A$377,MATCH(1,INDEX(('Raw Data'!$B$2:$B$377=A135)*('Raw Data'!$E$2:$E$377=F135),0),0))</f>
        <v/>
      </c>
      <c r="H135" s="7">
        <f>F135-D135</f>
        <v/>
      </c>
      <c r="I135" s="5">
        <f>COUNTIF('Raw Data'!$B$2:$B$377,A135)</f>
        <v/>
      </c>
    </row>
    <row r="136">
      <c r="A136" s="5" t="n">
        <v>60479</v>
      </c>
      <c r="B136" s="6">
        <f>INDEX('Raw Data'!$D$2:$D$377,MATCH(A136,'Raw Data'!$B$2:$B$377,0))</f>
        <v/>
      </c>
      <c r="C136" s="5">
        <f>INDEX('Raw Data'!$C$2:$C$377,MATCH(A136,'Raw Data'!$B$2:$B$377,0))</f>
        <v/>
      </c>
      <c r="D136" s="7">
        <f>_xlfn.MINIFS('Raw Data'!$E$2:$E$377,'Raw Data'!$B$2:$B$377,A136)</f>
        <v/>
      </c>
      <c r="E136" s="5">
        <f>INDEX('Raw Data'!$A$2:$A$377,MATCH(1,INDEX(('Raw Data'!$B$2:$B$377=A136)*('Raw Data'!$E$2:$E$377=D136),0),0))</f>
        <v/>
      </c>
      <c r="F136" s="7">
        <f>_xlfn.MAXIFS('Raw Data'!$E$2:$E$377,'Raw Data'!$B$2:$B$377,A136)</f>
        <v/>
      </c>
      <c r="G136" s="5">
        <f>INDEX('Raw Data'!$A$2:$A$377,MATCH(1,INDEX(('Raw Data'!$B$2:$B$377=A136)*('Raw Data'!$E$2:$E$377=F136),0),0))</f>
        <v/>
      </c>
      <c r="H136" s="7">
        <f>F136-D136</f>
        <v/>
      </c>
      <c r="I136" s="5">
        <f>COUNTIF('Raw Data'!$B$2:$B$377,A136)</f>
        <v/>
      </c>
    </row>
    <row r="137">
      <c r="A137" s="5" t="n">
        <v>60480</v>
      </c>
      <c r="B137" s="6">
        <f>INDEX('Raw Data'!$D$2:$D$377,MATCH(A137,'Raw Data'!$B$2:$B$377,0))</f>
        <v/>
      </c>
      <c r="C137" s="5">
        <f>INDEX('Raw Data'!$C$2:$C$377,MATCH(A137,'Raw Data'!$B$2:$B$377,0))</f>
        <v/>
      </c>
      <c r="D137" s="7">
        <f>_xlfn.MINIFS('Raw Data'!$E$2:$E$377,'Raw Data'!$B$2:$B$377,A137)</f>
        <v/>
      </c>
      <c r="E137" s="5">
        <f>INDEX('Raw Data'!$A$2:$A$377,MATCH(1,INDEX(('Raw Data'!$B$2:$B$377=A137)*('Raw Data'!$E$2:$E$377=D137),0),0))</f>
        <v/>
      </c>
      <c r="F137" s="7">
        <f>_xlfn.MAXIFS('Raw Data'!$E$2:$E$377,'Raw Data'!$B$2:$B$377,A137)</f>
        <v/>
      </c>
      <c r="G137" s="5">
        <f>INDEX('Raw Data'!$A$2:$A$377,MATCH(1,INDEX(('Raw Data'!$B$2:$B$377=A137)*('Raw Data'!$E$2:$E$377=F137),0),0))</f>
        <v/>
      </c>
      <c r="H137" s="7">
        <f>F137-D137</f>
        <v/>
      </c>
      <c r="I137" s="5">
        <f>COUNTIF('Raw Data'!$B$2:$B$377,A137)</f>
        <v/>
      </c>
    </row>
    <row r="138">
      <c r="A138" s="5" t="n">
        <v>60481</v>
      </c>
      <c r="B138" s="6">
        <f>INDEX('Raw Data'!$D$2:$D$377,MATCH(A138,'Raw Data'!$B$2:$B$377,0))</f>
        <v/>
      </c>
      <c r="C138" s="5">
        <f>INDEX('Raw Data'!$C$2:$C$377,MATCH(A138,'Raw Data'!$B$2:$B$377,0))</f>
        <v/>
      </c>
      <c r="D138" s="7">
        <f>_xlfn.MINIFS('Raw Data'!$E$2:$E$377,'Raw Data'!$B$2:$B$377,A138)</f>
        <v/>
      </c>
      <c r="E138" s="5">
        <f>INDEX('Raw Data'!$A$2:$A$377,MATCH(1,INDEX(('Raw Data'!$B$2:$B$377=A138)*('Raw Data'!$E$2:$E$377=D138),0),0))</f>
        <v/>
      </c>
      <c r="F138" s="7">
        <f>_xlfn.MAXIFS('Raw Data'!$E$2:$E$377,'Raw Data'!$B$2:$B$377,A138)</f>
        <v/>
      </c>
      <c r="G138" s="5">
        <f>INDEX('Raw Data'!$A$2:$A$377,MATCH(1,INDEX(('Raw Data'!$B$2:$B$377=A138)*('Raw Data'!$E$2:$E$377=F138),0),0))</f>
        <v/>
      </c>
      <c r="H138" s="7">
        <f>F138-D138</f>
        <v/>
      </c>
      <c r="I138" s="5">
        <f>COUNTIF('Raw Data'!$B$2:$B$377,A138)</f>
        <v/>
      </c>
    </row>
    <row r="139">
      <c r="A139" s="5" t="n">
        <v>60482</v>
      </c>
      <c r="B139" s="6">
        <f>INDEX('Raw Data'!$D$2:$D$377,MATCH(A139,'Raw Data'!$B$2:$B$377,0))</f>
        <v/>
      </c>
      <c r="C139" s="5">
        <f>INDEX('Raw Data'!$C$2:$C$377,MATCH(A139,'Raw Data'!$B$2:$B$377,0))</f>
        <v/>
      </c>
      <c r="D139" s="7">
        <f>_xlfn.MINIFS('Raw Data'!$E$2:$E$377,'Raw Data'!$B$2:$B$377,A139)</f>
        <v/>
      </c>
      <c r="E139" s="5">
        <f>INDEX('Raw Data'!$A$2:$A$377,MATCH(1,INDEX(('Raw Data'!$B$2:$B$377=A139)*('Raw Data'!$E$2:$E$377=D139),0),0))</f>
        <v/>
      </c>
      <c r="F139" s="7">
        <f>_xlfn.MAXIFS('Raw Data'!$E$2:$E$377,'Raw Data'!$B$2:$B$377,A139)</f>
        <v/>
      </c>
      <c r="G139" s="5">
        <f>INDEX('Raw Data'!$A$2:$A$377,MATCH(1,INDEX(('Raw Data'!$B$2:$B$377=A139)*('Raw Data'!$E$2:$E$377=F139),0),0))</f>
        <v/>
      </c>
      <c r="H139" s="7">
        <f>F139-D139</f>
        <v/>
      </c>
      <c r="I139" s="5">
        <f>COUNTIF('Raw Data'!$B$2:$B$377,A139)</f>
        <v/>
      </c>
    </row>
    <row r="140">
      <c r="A140" s="5" t="n">
        <v>60483</v>
      </c>
      <c r="B140" s="6">
        <f>INDEX('Raw Data'!$D$2:$D$377,MATCH(A140,'Raw Data'!$B$2:$B$377,0))</f>
        <v/>
      </c>
      <c r="C140" s="5">
        <f>INDEX('Raw Data'!$C$2:$C$377,MATCH(A140,'Raw Data'!$B$2:$B$377,0))</f>
        <v/>
      </c>
      <c r="D140" s="7">
        <f>_xlfn.MINIFS('Raw Data'!$E$2:$E$377,'Raw Data'!$B$2:$B$377,A140)</f>
        <v/>
      </c>
      <c r="E140" s="5">
        <f>INDEX('Raw Data'!$A$2:$A$377,MATCH(1,INDEX(('Raw Data'!$B$2:$B$377=A140)*('Raw Data'!$E$2:$E$377=D140),0),0))</f>
        <v/>
      </c>
      <c r="F140" s="7">
        <f>_xlfn.MAXIFS('Raw Data'!$E$2:$E$377,'Raw Data'!$B$2:$B$377,A140)</f>
        <v/>
      </c>
      <c r="G140" s="5">
        <f>INDEX('Raw Data'!$A$2:$A$377,MATCH(1,INDEX(('Raw Data'!$B$2:$B$377=A140)*('Raw Data'!$E$2:$E$377=F140),0),0))</f>
        <v/>
      </c>
      <c r="H140" s="7">
        <f>F140-D140</f>
        <v/>
      </c>
      <c r="I140" s="5">
        <f>COUNTIF('Raw Data'!$B$2:$B$377,A140)</f>
        <v/>
      </c>
    </row>
    <row r="141">
      <c r="A141" s="5" t="n">
        <v>60484</v>
      </c>
      <c r="B141" s="6">
        <f>INDEX('Raw Data'!$D$2:$D$377,MATCH(A141,'Raw Data'!$B$2:$B$377,0))</f>
        <v/>
      </c>
      <c r="C141" s="5">
        <f>INDEX('Raw Data'!$C$2:$C$377,MATCH(A141,'Raw Data'!$B$2:$B$377,0))</f>
        <v/>
      </c>
      <c r="D141" s="7">
        <f>_xlfn.MINIFS('Raw Data'!$E$2:$E$377,'Raw Data'!$B$2:$B$377,A141)</f>
        <v/>
      </c>
      <c r="E141" s="5">
        <f>INDEX('Raw Data'!$A$2:$A$377,MATCH(1,INDEX(('Raw Data'!$B$2:$B$377=A141)*('Raw Data'!$E$2:$E$377=D141),0),0))</f>
        <v/>
      </c>
      <c r="F141" s="7">
        <f>_xlfn.MAXIFS('Raw Data'!$E$2:$E$377,'Raw Data'!$B$2:$B$377,A141)</f>
        <v/>
      </c>
      <c r="G141" s="5">
        <f>INDEX('Raw Data'!$A$2:$A$377,MATCH(1,INDEX(('Raw Data'!$B$2:$B$377=A141)*('Raw Data'!$E$2:$E$377=F141),0),0))</f>
        <v/>
      </c>
      <c r="H141" s="7">
        <f>F141-D141</f>
        <v/>
      </c>
      <c r="I141" s="5">
        <f>COUNTIF('Raw Data'!$B$2:$B$377,A141)</f>
        <v/>
      </c>
    </row>
    <row r="142">
      <c r="A142" s="5" t="n">
        <v>60485</v>
      </c>
      <c r="B142" s="6">
        <f>INDEX('Raw Data'!$D$2:$D$377,MATCH(A142,'Raw Data'!$B$2:$B$377,0))</f>
        <v/>
      </c>
      <c r="C142" s="5">
        <f>INDEX('Raw Data'!$C$2:$C$377,MATCH(A142,'Raw Data'!$B$2:$B$377,0))</f>
        <v/>
      </c>
      <c r="D142" s="7">
        <f>_xlfn.MINIFS('Raw Data'!$E$2:$E$377,'Raw Data'!$B$2:$B$377,A142)</f>
        <v/>
      </c>
      <c r="E142" s="5">
        <f>INDEX('Raw Data'!$A$2:$A$377,MATCH(1,INDEX(('Raw Data'!$B$2:$B$377=A142)*('Raw Data'!$E$2:$E$377=D142),0),0))</f>
        <v/>
      </c>
      <c r="F142" s="7">
        <f>_xlfn.MAXIFS('Raw Data'!$E$2:$E$377,'Raw Data'!$B$2:$B$377,A142)</f>
        <v/>
      </c>
      <c r="G142" s="5">
        <f>INDEX('Raw Data'!$A$2:$A$377,MATCH(1,INDEX(('Raw Data'!$B$2:$B$377=A142)*('Raw Data'!$E$2:$E$377=F142),0),0))</f>
        <v/>
      </c>
      <c r="H142" s="7">
        <f>F142-D142</f>
        <v/>
      </c>
      <c r="I142" s="5">
        <f>COUNTIF('Raw Data'!$B$2:$B$377,A142)</f>
        <v/>
      </c>
    </row>
    <row r="143">
      <c r="A143" s="5" t="n">
        <v>60486</v>
      </c>
      <c r="B143" s="6">
        <f>INDEX('Raw Data'!$D$2:$D$377,MATCH(A143,'Raw Data'!$B$2:$B$377,0))</f>
        <v/>
      </c>
      <c r="C143" s="5">
        <f>INDEX('Raw Data'!$C$2:$C$377,MATCH(A143,'Raw Data'!$B$2:$B$377,0))</f>
        <v/>
      </c>
      <c r="D143" s="7">
        <f>_xlfn.MINIFS('Raw Data'!$E$2:$E$377,'Raw Data'!$B$2:$B$377,A143)</f>
        <v/>
      </c>
      <c r="E143" s="5">
        <f>INDEX('Raw Data'!$A$2:$A$377,MATCH(1,INDEX(('Raw Data'!$B$2:$B$377=A143)*('Raw Data'!$E$2:$E$377=D143),0),0))</f>
        <v/>
      </c>
      <c r="F143" s="7">
        <f>_xlfn.MAXIFS('Raw Data'!$E$2:$E$377,'Raw Data'!$B$2:$B$377,A143)</f>
        <v/>
      </c>
      <c r="G143" s="5">
        <f>INDEX('Raw Data'!$A$2:$A$377,MATCH(1,INDEX(('Raw Data'!$B$2:$B$377=A143)*('Raw Data'!$E$2:$E$377=F143),0),0))</f>
        <v/>
      </c>
      <c r="H143" s="7">
        <f>F143-D143</f>
        <v/>
      </c>
      <c r="I143" s="5">
        <f>COUNTIF('Raw Data'!$B$2:$B$377,A143)</f>
        <v/>
      </c>
    </row>
    <row r="144">
      <c r="A144" s="5" t="n">
        <v>60487</v>
      </c>
      <c r="B144" s="6">
        <f>INDEX('Raw Data'!$D$2:$D$377,MATCH(A144,'Raw Data'!$B$2:$B$377,0))</f>
        <v/>
      </c>
      <c r="C144" s="5">
        <f>INDEX('Raw Data'!$C$2:$C$377,MATCH(A144,'Raw Data'!$B$2:$B$377,0))</f>
        <v/>
      </c>
      <c r="D144" s="7">
        <f>_xlfn.MINIFS('Raw Data'!$E$2:$E$377,'Raw Data'!$B$2:$B$377,A144)</f>
        <v/>
      </c>
      <c r="E144" s="5">
        <f>INDEX('Raw Data'!$A$2:$A$377,MATCH(1,INDEX(('Raw Data'!$B$2:$B$377=A144)*('Raw Data'!$E$2:$E$377=D144),0),0))</f>
        <v/>
      </c>
      <c r="F144" s="7">
        <f>_xlfn.MAXIFS('Raw Data'!$E$2:$E$377,'Raw Data'!$B$2:$B$377,A144)</f>
        <v/>
      </c>
      <c r="G144" s="5">
        <f>INDEX('Raw Data'!$A$2:$A$377,MATCH(1,INDEX(('Raw Data'!$B$2:$B$377=A144)*('Raw Data'!$E$2:$E$377=F144),0),0))</f>
        <v/>
      </c>
      <c r="H144" s="7">
        <f>F144-D144</f>
        <v/>
      </c>
      <c r="I144" s="5">
        <f>COUNTIF('Raw Data'!$B$2:$B$377,A144)</f>
        <v/>
      </c>
    </row>
    <row r="145">
      <c r="A145" s="5" t="n">
        <v>60488</v>
      </c>
      <c r="B145" s="6">
        <f>INDEX('Raw Data'!$D$2:$D$377,MATCH(A145,'Raw Data'!$B$2:$B$377,0))</f>
        <v/>
      </c>
      <c r="C145" s="5">
        <f>INDEX('Raw Data'!$C$2:$C$377,MATCH(A145,'Raw Data'!$B$2:$B$377,0))</f>
        <v/>
      </c>
      <c r="D145" s="7">
        <f>_xlfn.MINIFS('Raw Data'!$E$2:$E$377,'Raw Data'!$B$2:$B$377,A145)</f>
        <v/>
      </c>
      <c r="E145" s="5">
        <f>INDEX('Raw Data'!$A$2:$A$377,MATCH(1,INDEX(('Raw Data'!$B$2:$B$377=A145)*('Raw Data'!$E$2:$E$377=D145),0),0))</f>
        <v/>
      </c>
      <c r="F145" s="7">
        <f>_xlfn.MAXIFS('Raw Data'!$E$2:$E$377,'Raw Data'!$B$2:$B$377,A145)</f>
        <v/>
      </c>
      <c r="G145" s="5">
        <f>INDEX('Raw Data'!$A$2:$A$377,MATCH(1,INDEX(('Raw Data'!$B$2:$B$377=A145)*('Raw Data'!$E$2:$E$377=F145),0),0))</f>
        <v/>
      </c>
      <c r="H145" s="7">
        <f>F145-D145</f>
        <v/>
      </c>
      <c r="I145" s="5">
        <f>COUNTIF('Raw Data'!$B$2:$B$377,A145)</f>
        <v/>
      </c>
    </row>
    <row r="146">
      <c r="A146" s="5" t="n">
        <v>60489</v>
      </c>
      <c r="B146" s="6">
        <f>INDEX('Raw Data'!$D$2:$D$377,MATCH(A146,'Raw Data'!$B$2:$B$377,0))</f>
        <v/>
      </c>
      <c r="C146" s="5">
        <f>INDEX('Raw Data'!$C$2:$C$377,MATCH(A146,'Raw Data'!$B$2:$B$377,0))</f>
        <v/>
      </c>
      <c r="D146" s="7">
        <f>_xlfn.MINIFS('Raw Data'!$E$2:$E$377,'Raw Data'!$B$2:$B$377,A146)</f>
        <v/>
      </c>
      <c r="E146" s="5">
        <f>INDEX('Raw Data'!$A$2:$A$377,MATCH(1,INDEX(('Raw Data'!$B$2:$B$377=A146)*('Raw Data'!$E$2:$E$377=D146),0),0))</f>
        <v/>
      </c>
      <c r="F146" s="7">
        <f>_xlfn.MAXIFS('Raw Data'!$E$2:$E$377,'Raw Data'!$B$2:$B$377,A146)</f>
        <v/>
      </c>
      <c r="G146" s="5">
        <f>INDEX('Raw Data'!$A$2:$A$377,MATCH(1,INDEX(('Raw Data'!$B$2:$B$377=A146)*('Raw Data'!$E$2:$E$377=F146),0),0))</f>
        <v/>
      </c>
      <c r="H146" s="7">
        <f>F146-D146</f>
        <v/>
      </c>
      <c r="I146" s="5">
        <f>COUNTIF('Raw Data'!$B$2:$B$377,A146)</f>
        <v/>
      </c>
    </row>
    <row r="147">
      <c r="A147" s="5" t="n">
        <v>60490</v>
      </c>
      <c r="B147" s="6">
        <f>INDEX('Raw Data'!$D$2:$D$377,MATCH(A147,'Raw Data'!$B$2:$B$377,0))</f>
        <v/>
      </c>
      <c r="C147" s="5">
        <f>INDEX('Raw Data'!$C$2:$C$377,MATCH(A147,'Raw Data'!$B$2:$B$377,0))</f>
        <v/>
      </c>
      <c r="D147" s="7">
        <f>_xlfn.MINIFS('Raw Data'!$E$2:$E$377,'Raw Data'!$B$2:$B$377,A147)</f>
        <v/>
      </c>
      <c r="E147" s="5">
        <f>INDEX('Raw Data'!$A$2:$A$377,MATCH(1,INDEX(('Raw Data'!$B$2:$B$377=A147)*('Raw Data'!$E$2:$E$377=D147),0),0))</f>
        <v/>
      </c>
      <c r="F147" s="7">
        <f>_xlfn.MAXIFS('Raw Data'!$E$2:$E$377,'Raw Data'!$B$2:$B$377,A147)</f>
        <v/>
      </c>
      <c r="G147" s="5">
        <f>INDEX('Raw Data'!$A$2:$A$377,MATCH(1,INDEX(('Raw Data'!$B$2:$B$377=A147)*('Raw Data'!$E$2:$E$377=F147),0),0))</f>
        <v/>
      </c>
      <c r="H147" s="7">
        <f>F147-D147</f>
        <v/>
      </c>
      <c r="I147" s="5">
        <f>COUNTIF('Raw Data'!$B$2:$B$377,A147)</f>
        <v/>
      </c>
    </row>
    <row r="148">
      <c r="A148" s="5" t="n">
        <v>60491</v>
      </c>
      <c r="B148" s="6">
        <f>INDEX('Raw Data'!$D$2:$D$377,MATCH(A148,'Raw Data'!$B$2:$B$377,0))</f>
        <v/>
      </c>
      <c r="C148" s="5">
        <f>INDEX('Raw Data'!$C$2:$C$377,MATCH(A148,'Raw Data'!$B$2:$B$377,0))</f>
        <v/>
      </c>
      <c r="D148" s="7">
        <f>_xlfn.MINIFS('Raw Data'!$E$2:$E$377,'Raw Data'!$B$2:$B$377,A148)</f>
        <v/>
      </c>
      <c r="E148" s="5">
        <f>INDEX('Raw Data'!$A$2:$A$377,MATCH(1,INDEX(('Raw Data'!$B$2:$B$377=A148)*('Raw Data'!$E$2:$E$377=D148),0),0))</f>
        <v/>
      </c>
      <c r="F148" s="7">
        <f>_xlfn.MAXIFS('Raw Data'!$E$2:$E$377,'Raw Data'!$B$2:$B$377,A148)</f>
        <v/>
      </c>
      <c r="G148" s="5">
        <f>INDEX('Raw Data'!$A$2:$A$377,MATCH(1,INDEX(('Raw Data'!$B$2:$B$377=A148)*('Raw Data'!$E$2:$E$377=F148),0),0))</f>
        <v/>
      </c>
      <c r="H148" s="7">
        <f>F148-D148</f>
        <v/>
      </c>
      <c r="I148" s="5">
        <f>COUNTIF('Raw Data'!$B$2:$B$377,A148)</f>
        <v/>
      </c>
    </row>
    <row r="149">
      <c r="A149" s="5" t="n">
        <v>60492</v>
      </c>
      <c r="B149" s="6">
        <f>INDEX('Raw Data'!$D$2:$D$377,MATCH(A149,'Raw Data'!$B$2:$B$377,0))</f>
        <v/>
      </c>
      <c r="C149" s="5">
        <f>INDEX('Raw Data'!$C$2:$C$377,MATCH(A149,'Raw Data'!$B$2:$B$377,0))</f>
        <v/>
      </c>
      <c r="D149" s="7">
        <f>_xlfn.MINIFS('Raw Data'!$E$2:$E$377,'Raw Data'!$B$2:$B$377,A149)</f>
        <v/>
      </c>
      <c r="E149" s="5">
        <f>INDEX('Raw Data'!$A$2:$A$377,MATCH(1,INDEX(('Raw Data'!$B$2:$B$377=A149)*('Raw Data'!$E$2:$E$377=D149),0),0))</f>
        <v/>
      </c>
      <c r="F149" s="7">
        <f>_xlfn.MAXIFS('Raw Data'!$E$2:$E$377,'Raw Data'!$B$2:$B$377,A149)</f>
        <v/>
      </c>
      <c r="G149" s="5">
        <f>INDEX('Raw Data'!$A$2:$A$377,MATCH(1,INDEX(('Raw Data'!$B$2:$B$377=A149)*('Raw Data'!$E$2:$E$377=F149),0),0))</f>
        <v/>
      </c>
      <c r="H149" s="7">
        <f>F149-D149</f>
        <v/>
      </c>
      <c r="I149" s="5">
        <f>COUNTIF('Raw Data'!$B$2:$B$377,A149)</f>
        <v/>
      </c>
    </row>
    <row r="150">
      <c r="A150" s="5" t="n">
        <v>60493</v>
      </c>
      <c r="B150" s="6">
        <f>INDEX('Raw Data'!$D$2:$D$377,MATCH(A150,'Raw Data'!$B$2:$B$377,0))</f>
        <v/>
      </c>
      <c r="C150" s="5">
        <f>INDEX('Raw Data'!$C$2:$C$377,MATCH(A150,'Raw Data'!$B$2:$B$377,0))</f>
        <v/>
      </c>
      <c r="D150" s="7">
        <f>_xlfn.MINIFS('Raw Data'!$E$2:$E$377,'Raw Data'!$B$2:$B$377,A150)</f>
        <v/>
      </c>
      <c r="E150" s="5">
        <f>INDEX('Raw Data'!$A$2:$A$377,MATCH(1,INDEX(('Raw Data'!$B$2:$B$377=A150)*('Raw Data'!$E$2:$E$377=D150),0),0))</f>
        <v/>
      </c>
      <c r="F150" s="7">
        <f>_xlfn.MAXIFS('Raw Data'!$E$2:$E$377,'Raw Data'!$B$2:$B$377,A150)</f>
        <v/>
      </c>
      <c r="G150" s="5">
        <f>INDEX('Raw Data'!$A$2:$A$377,MATCH(1,INDEX(('Raw Data'!$B$2:$B$377=A150)*('Raw Data'!$E$2:$E$377=F150),0),0))</f>
        <v/>
      </c>
      <c r="H150" s="7">
        <f>F150-D150</f>
        <v/>
      </c>
      <c r="I150" s="5">
        <f>COUNTIF('Raw Data'!$B$2:$B$377,A150)</f>
        <v/>
      </c>
    </row>
    <row r="151">
      <c r="A151" s="5" t="n">
        <v>60494</v>
      </c>
      <c r="B151" s="6">
        <f>INDEX('Raw Data'!$D$2:$D$377,MATCH(A151,'Raw Data'!$B$2:$B$377,0))</f>
        <v/>
      </c>
      <c r="C151" s="5">
        <f>INDEX('Raw Data'!$C$2:$C$377,MATCH(A151,'Raw Data'!$B$2:$B$377,0))</f>
        <v/>
      </c>
      <c r="D151" s="7">
        <f>_xlfn.MINIFS('Raw Data'!$E$2:$E$377,'Raw Data'!$B$2:$B$377,A151)</f>
        <v/>
      </c>
      <c r="E151" s="5">
        <f>INDEX('Raw Data'!$A$2:$A$377,MATCH(1,INDEX(('Raw Data'!$B$2:$B$377=A151)*('Raw Data'!$E$2:$E$377=D151),0),0))</f>
        <v/>
      </c>
      <c r="F151" s="7">
        <f>_xlfn.MAXIFS('Raw Data'!$E$2:$E$377,'Raw Data'!$B$2:$B$377,A151)</f>
        <v/>
      </c>
      <c r="G151" s="5">
        <f>INDEX('Raw Data'!$A$2:$A$377,MATCH(1,INDEX(('Raw Data'!$B$2:$B$377=A151)*('Raw Data'!$E$2:$E$377=F151),0),0))</f>
        <v/>
      </c>
      <c r="H151" s="7">
        <f>F151-D151</f>
        <v/>
      </c>
      <c r="I151" s="5">
        <f>COUNTIF('Raw Data'!$B$2:$B$377,A151)</f>
        <v/>
      </c>
    </row>
    <row r="152">
      <c r="A152" s="5" t="n">
        <v>60495</v>
      </c>
      <c r="B152" s="6">
        <f>INDEX('Raw Data'!$D$2:$D$377,MATCH(A152,'Raw Data'!$B$2:$B$377,0))</f>
        <v/>
      </c>
      <c r="C152" s="5">
        <f>INDEX('Raw Data'!$C$2:$C$377,MATCH(A152,'Raw Data'!$B$2:$B$377,0))</f>
        <v/>
      </c>
      <c r="D152" s="7">
        <f>_xlfn.MINIFS('Raw Data'!$E$2:$E$377,'Raw Data'!$B$2:$B$377,A152)</f>
        <v/>
      </c>
      <c r="E152" s="5">
        <f>INDEX('Raw Data'!$A$2:$A$377,MATCH(1,INDEX(('Raw Data'!$B$2:$B$377=A152)*('Raw Data'!$E$2:$E$377=D152),0),0))</f>
        <v/>
      </c>
      <c r="F152" s="7">
        <f>_xlfn.MAXIFS('Raw Data'!$E$2:$E$377,'Raw Data'!$B$2:$B$377,A152)</f>
        <v/>
      </c>
      <c r="G152" s="5">
        <f>INDEX('Raw Data'!$A$2:$A$377,MATCH(1,INDEX(('Raw Data'!$B$2:$B$377=A152)*('Raw Data'!$E$2:$E$377=F152),0),0))</f>
        <v/>
      </c>
      <c r="H152" s="7">
        <f>F152-D152</f>
        <v/>
      </c>
      <c r="I152" s="5">
        <f>COUNTIF('Raw Data'!$B$2:$B$377,A152)</f>
        <v/>
      </c>
    </row>
    <row r="153">
      <c r="A153" s="5" t="n">
        <v>60496</v>
      </c>
      <c r="B153" s="6">
        <f>INDEX('Raw Data'!$D$2:$D$377,MATCH(A153,'Raw Data'!$B$2:$B$377,0))</f>
        <v/>
      </c>
      <c r="C153" s="5">
        <f>INDEX('Raw Data'!$C$2:$C$377,MATCH(A153,'Raw Data'!$B$2:$B$377,0))</f>
        <v/>
      </c>
      <c r="D153" s="7">
        <f>_xlfn.MINIFS('Raw Data'!$E$2:$E$377,'Raw Data'!$B$2:$B$377,A153)</f>
        <v/>
      </c>
      <c r="E153" s="5">
        <f>INDEX('Raw Data'!$A$2:$A$377,MATCH(1,INDEX(('Raw Data'!$B$2:$B$377=A153)*('Raw Data'!$E$2:$E$377=D153),0),0))</f>
        <v/>
      </c>
      <c r="F153" s="7">
        <f>_xlfn.MAXIFS('Raw Data'!$E$2:$E$377,'Raw Data'!$B$2:$B$377,A153)</f>
        <v/>
      </c>
      <c r="G153" s="5">
        <f>INDEX('Raw Data'!$A$2:$A$377,MATCH(1,INDEX(('Raw Data'!$B$2:$B$377=A153)*('Raw Data'!$E$2:$E$377=F153),0),0))</f>
        <v/>
      </c>
      <c r="H153" s="7">
        <f>F153-D153</f>
        <v/>
      </c>
      <c r="I153" s="5">
        <f>COUNTIF('Raw Data'!$B$2:$B$377,A153)</f>
        <v/>
      </c>
    </row>
    <row r="154">
      <c r="A154" s="5" t="n">
        <v>60497</v>
      </c>
      <c r="B154" s="6">
        <f>INDEX('Raw Data'!$D$2:$D$377,MATCH(A154,'Raw Data'!$B$2:$B$377,0))</f>
        <v/>
      </c>
      <c r="C154" s="5">
        <f>INDEX('Raw Data'!$C$2:$C$377,MATCH(A154,'Raw Data'!$B$2:$B$377,0))</f>
        <v/>
      </c>
      <c r="D154" s="7">
        <f>_xlfn.MINIFS('Raw Data'!$E$2:$E$377,'Raw Data'!$B$2:$B$377,A154)</f>
        <v/>
      </c>
      <c r="E154" s="5">
        <f>INDEX('Raw Data'!$A$2:$A$377,MATCH(1,INDEX(('Raw Data'!$B$2:$B$377=A154)*('Raw Data'!$E$2:$E$377=D154),0),0))</f>
        <v/>
      </c>
      <c r="F154" s="7">
        <f>_xlfn.MAXIFS('Raw Data'!$E$2:$E$377,'Raw Data'!$B$2:$B$377,A154)</f>
        <v/>
      </c>
      <c r="G154" s="5">
        <f>INDEX('Raw Data'!$A$2:$A$377,MATCH(1,INDEX(('Raw Data'!$B$2:$B$377=A154)*('Raw Data'!$E$2:$E$377=F154),0),0))</f>
        <v/>
      </c>
      <c r="H154" s="7">
        <f>F154-D154</f>
        <v/>
      </c>
      <c r="I154" s="5">
        <f>COUNTIF('Raw Data'!$B$2:$B$377,A154)</f>
        <v/>
      </c>
    </row>
    <row r="155">
      <c r="A155" s="5" t="n">
        <v>60498</v>
      </c>
      <c r="B155" s="6">
        <f>INDEX('Raw Data'!$D$2:$D$377,MATCH(A155,'Raw Data'!$B$2:$B$377,0))</f>
        <v/>
      </c>
      <c r="C155" s="5">
        <f>INDEX('Raw Data'!$C$2:$C$377,MATCH(A155,'Raw Data'!$B$2:$B$377,0))</f>
        <v/>
      </c>
      <c r="D155" s="7">
        <f>_xlfn.MINIFS('Raw Data'!$E$2:$E$377,'Raw Data'!$B$2:$B$377,A155)</f>
        <v/>
      </c>
      <c r="E155" s="5">
        <f>INDEX('Raw Data'!$A$2:$A$377,MATCH(1,INDEX(('Raw Data'!$B$2:$B$377=A155)*('Raw Data'!$E$2:$E$377=D155),0),0))</f>
        <v/>
      </c>
      <c r="F155" s="7">
        <f>_xlfn.MAXIFS('Raw Data'!$E$2:$E$377,'Raw Data'!$B$2:$B$377,A155)</f>
        <v/>
      </c>
      <c r="G155" s="5">
        <f>INDEX('Raw Data'!$A$2:$A$377,MATCH(1,INDEX(('Raw Data'!$B$2:$B$377=A155)*('Raw Data'!$E$2:$E$377=F155),0),0))</f>
        <v/>
      </c>
      <c r="H155" s="7">
        <f>F155-D155</f>
        <v/>
      </c>
      <c r="I155" s="5">
        <f>COUNTIF('Raw Data'!$B$2:$B$377,A155)</f>
        <v/>
      </c>
    </row>
    <row r="156">
      <c r="A156" s="5" t="n">
        <v>60499</v>
      </c>
      <c r="B156" s="6">
        <f>INDEX('Raw Data'!$D$2:$D$377,MATCH(A156,'Raw Data'!$B$2:$B$377,0))</f>
        <v/>
      </c>
      <c r="C156" s="5">
        <f>INDEX('Raw Data'!$C$2:$C$377,MATCH(A156,'Raw Data'!$B$2:$B$377,0))</f>
        <v/>
      </c>
      <c r="D156" s="7">
        <f>_xlfn.MINIFS('Raw Data'!$E$2:$E$377,'Raw Data'!$B$2:$B$377,A156)</f>
        <v/>
      </c>
      <c r="E156" s="5">
        <f>INDEX('Raw Data'!$A$2:$A$377,MATCH(1,INDEX(('Raw Data'!$B$2:$B$377=A156)*('Raw Data'!$E$2:$E$377=D156),0),0))</f>
        <v/>
      </c>
      <c r="F156" s="7">
        <f>_xlfn.MAXIFS('Raw Data'!$E$2:$E$377,'Raw Data'!$B$2:$B$377,A156)</f>
        <v/>
      </c>
      <c r="G156" s="5">
        <f>INDEX('Raw Data'!$A$2:$A$377,MATCH(1,INDEX(('Raw Data'!$B$2:$B$377=A156)*('Raw Data'!$E$2:$E$377=F156),0),0))</f>
        <v/>
      </c>
      <c r="H156" s="7">
        <f>F156-D156</f>
        <v/>
      </c>
      <c r="I156" s="5">
        <f>COUNTIF('Raw Data'!$B$2:$B$377,A156)</f>
        <v/>
      </c>
    </row>
    <row r="157">
      <c r="A157" s="5" t="n">
        <v>60500</v>
      </c>
      <c r="B157" s="6">
        <f>INDEX('Raw Data'!$D$2:$D$377,MATCH(A157,'Raw Data'!$B$2:$B$377,0))</f>
        <v/>
      </c>
      <c r="C157" s="5">
        <f>INDEX('Raw Data'!$C$2:$C$377,MATCH(A157,'Raw Data'!$B$2:$B$377,0))</f>
        <v/>
      </c>
      <c r="D157" s="7">
        <f>_xlfn.MINIFS('Raw Data'!$E$2:$E$377,'Raw Data'!$B$2:$B$377,A157)</f>
        <v/>
      </c>
      <c r="E157" s="5">
        <f>INDEX('Raw Data'!$A$2:$A$377,MATCH(1,INDEX(('Raw Data'!$B$2:$B$377=A157)*('Raw Data'!$E$2:$E$377=D157),0),0))</f>
        <v/>
      </c>
      <c r="F157" s="7">
        <f>_xlfn.MAXIFS('Raw Data'!$E$2:$E$377,'Raw Data'!$B$2:$B$377,A157)</f>
        <v/>
      </c>
      <c r="G157" s="5">
        <f>INDEX('Raw Data'!$A$2:$A$377,MATCH(1,INDEX(('Raw Data'!$B$2:$B$377=A157)*('Raw Data'!$E$2:$E$377=F157),0),0))</f>
        <v/>
      </c>
      <c r="H157" s="7">
        <f>F157-D157</f>
        <v/>
      </c>
      <c r="I157" s="5">
        <f>COUNTIF('Raw Data'!$B$2:$B$377,A157)</f>
        <v/>
      </c>
    </row>
    <row r="158">
      <c r="A158" s="5" t="n">
        <v>60501</v>
      </c>
      <c r="B158" s="6">
        <f>INDEX('Raw Data'!$D$2:$D$377,MATCH(A158,'Raw Data'!$B$2:$B$377,0))</f>
        <v/>
      </c>
      <c r="C158" s="5">
        <f>INDEX('Raw Data'!$C$2:$C$377,MATCH(A158,'Raw Data'!$B$2:$B$377,0))</f>
        <v/>
      </c>
      <c r="D158" s="7">
        <f>_xlfn.MINIFS('Raw Data'!$E$2:$E$377,'Raw Data'!$B$2:$B$377,A158)</f>
        <v/>
      </c>
      <c r="E158" s="5">
        <f>INDEX('Raw Data'!$A$2:$A$377,MATCH(1,INDEX(('Raw Data'!$B$2:$B$377=A158)*('Raw Data'!$E$2:$E$377=D158),0),0))</f>
        <v/>
      </c>
      <c r="F158" s="7">
        <f>_xlfn.MAXIFS('Raw Data'!$E$2:$E$377,'Raw Data'!$B$2:$B$377,A158)</f>
        <v/>
      </c>
      <c r="G158" s="5">
        <f>INDEX('Raw Data'!$A$2:$A$377,MATCH(1,INDEX(('Raw Data'!$B$2:$B$377=A158)*('Raw Data'!$E$2:$E$377=F158),0),0))</f>
        <v/>
      </c>
      <c r="H158" s="7">
        <f>F158-D158</f>
        <v/>
      </c>
      <c r="I158" s="5">
        <f>COUNTIF('Raw Data'!$B$2:$B$377,A158)</f>
        <v/>
      </c>
    </row>
    <row r="159">
      <c r="A159" s="5" t="n">
        <v>60502</v>
      </c>
      <c r="B159" s="6">
        <f>INDEX('Raw Data'!$D$2:$D$377,MATCH(A159,'Raw Data'!$B$2:$B$377,0))</f>
        <v/>
      </c>
      <c r="C159" s="5">
        <f>INDEX('Raw Data'!$C$2:$C$377,MATCH(A159,'Raw Data'!$B$2:$B$377,0))</f>
        <v/>
      </c>
      <c r="D159" s="7">
        <f>_xlfn.MINIFS('Raw Data'!$E$2:$E$377,'Raw Data'!$B$2:$B$377,A159)</f>
        <v/>
      </c>
      <c r="E159" s="5">
        <f>INDEX('Raw Data'!$A$2:$A$377,MATCH(1,INDEX(('Raw Data'!$B$2:$B$377=A159)*('Raw Data'!$E$2:$E$377=D159),0),0))</f>
        <v/>
      </c>
      <c r="F159" s="7">
        <f>_xlfn.MAXIFS('Raw Data'!$E$2:$E$377,'Raw Data'!$B$2:$B$377,A159)</f>
        <v/>
      </c>
      <c r="G159" s="5">
        <f>INDEX('Raw Data'!$A$2:$A$377,MATCH(1,INDEX(('Raw Data'!$B$2:$B$377=A159)*('Raw Data'!$E$2:$E$377=F159),0),0))</f>
        <v/>
      </c>
      <c r="H159" s="7">
        <f>F159-D159</f>
        <v/>
      </c>
      <c r="I159" s="5">
        <f>COUNTIF('Raw Data'!$B$2:$B$377,A159)</f>
        <v/>
      </c>
    </row>
    <row r="160">
      <c r="A160" s="5" t="n">
        <v>60503</v>
      </c>
      <c r="B160" s="6">
        <f>INDEX('Raw Data'!$D$2:$D$377,MATCH(A160,'Raw Data'!$B$2:$B$377,0))</f>
        <v/>
      </c>
      <c r="C160" s="5">
        <f>INDEX('Raw Data'!$C$2:$C$377,MATCH(A160,'Raw Data'!$B$2:$B$377,0))</f>
        <v/>
      </c>
      <c r="D160" s="7">
        <f>_xlfn.MINIFS('Raw Data'!$E$2:$E$377,'Raw Data'!$B$2:$B$377,A160)</f>
        <v/>
      </c>
      <c r="E160" s="5">
        <f>INDEX('Raw Data'!$A$2:$A$377,MATCH(1,INDEX(('Raw Data'!$B$2:$B$377=A160)*('Raw Data'!$E$2:$E$377=D160),0),0))</f>
        <v/>
      </c>
      <c r="F160" s="7">
        <f>_xlfn.MAXIFS('Raw Data'!$E$2:$E$377,'Raw Data'!$B$2:$B$377,A160)</f>
        <v/>
      </c>
      <c r="G160" s="5">
        <f>INDEX('Raw Data'!$A$2:$A$377,MATCH(1,INDEX(('Raw Data'!$B$2:$B$377=A160)*('Raw Data'!$E$2:$E$377=F160),0),0))</f>
        <v/>
      </c>
      <c r="H160" s="7">
        <f>F160-D160</f>
        <v/>
      </c>
      <c r="I160" s="5">
        <f>COUNTIF('Raw Data'!$B$2:$B$377,A160)</f>
        <v/>
      </c>
    </row>
    <row r="161">
      <c r="A161" s="5" t="n">
        <v>60504</v>
      </c>
      <c r="B161" s="6">
        <f>INDEX('Raw Data'!$D$2:$D$377,MATCH(A161,'Raw Data'!$B$2:$B$377,0))</f>
        <v/>
      </c>
      <c r="C161" s="5">
        <f>INDEX('Raw Data'!$C$2:$C$377,MATCH(A161,'Raw Data'!$B$2:$B$377,0))</f>
        <v/>
      </c>
      <c r="D161" s="7">
        <f>_xlfn.MINIFS('Raw Data'!$E$2:$E$377,'Raw Data'!$B$2:$B$377,A161)</f>
        <v/>
      </c>
      <c r="E161" s="5">
        <f>INDEX('Raw Data'!$A$2:$A$377,MATCH(1,INDEX(('Raw Data'!$B$2:$B$377=A161)*('Raw Data'!$E$2:$E$377=D161),0),0))</f>
        <v/>
      </c>
      <c r="F161" s="7">
        <f>_xlfn.MAXIFS('Raw Data'!$E$2:$E$377,'Raw Data'!$B$2:$B$377,A161)</f>
        <v/>
      </c>
      <c r="G161" s="5">
        <f>INDEX('Raw Data'!$A$2:$A$377,MATCH(1,INDEX(('Raw Data'!$B$2:$B$377=A161)*('Raw Data'!$E$2:$E$377=F161),0),0))</f>
        <v/>
      </c>
      <c r="H161" s="7">
        <f>F161-D161</f>
        <v/>
      </c>
      <c r="I161" s="5">
        <f>COUNTIF('Raw Data'!$B$2:$B$377,A161)</f>
        <v/>
      </c>
    </row>
    <row r="162">
      <c r="A162" s="5" t="n">
        <v>60505</v>
      </c>
      <c r="B162" s="6">
        <f>INDEX('Raw Data'!$D$2:$D$377,MATCH(A162,'Raw Data'!$B$2:$B$377,0))</f>
        <v/>
      </c>
      <c r="C162" s="5">
        <f>INDEX('Raw Data'!$C$2:$C$377,MATCH(A162,'Raw Data'!$B$2:$B$377,0))</f>
        <v/>
      </c>
      <c r="D162" s="7">
        <f>_xlfn.MINIFS('Raw Data'!$E$2:$E$377,'Raw Data'!$B$2:$B$377,A162)</f>
        <v/>
      </c>
      <c r="E162" s="5">
        <f>INDEX('Raw Data'!$A$2:$A$377,MATCH(1,INDEX(('Raw Data'!$B$2:$B$377=A162)*('Raw Data'!$E$2:$E$377=D162),0),0))</f>
        <v/>
      </c>
      <c r="F162" s="7">
        <f>_xlfn.MAXIFS('Raw Data'!$E$2:$E$377,'Raw Data'!$B$2:$B$377,A162)</f>
        <v/>
      </c>
      <c r="G162" s="5">
        <f>INDEX('Raw Data'!$A$2:$A$377,MATCH(1,INDEX(('Raw Data'!$B$2:$B$377=A162)*('Raw Data'!$E$2:$E$377=F162),0),0))</f>
        <v/>
      </c>
      <c r="H162" s="7">
        <f>F162-D162</f>
        <v/>
      </c>
      <c r="I162" s="5">
        <f>COUNTIF('Raw Data'!$B$2:$B$377,A162)</f>
        <v/>
      </c>
    </row>
    <row r="163">
      <c r="A163" s="5" t="n">
        <v>60506</v>
      </c>
      <c r="B163" s="6">
        <f>INDEX('Raw Data'!$D$2:$D$377,MATCH(A163,'Raw Data'!$B$2:$B$377,0))</f>
        <v/>
      </c>
      <c r="C163" s="5">
        <f>INDEX('Raw Data'!$C$2:$C$377,MATCH(A163,'Raw Data'!$B$2:$B$377,0))</f>
        <v/>
      </c>
      <c r="D163" s="7">
        <f>_xlfn.MINIFS('Raw Data'!$E$2:$E$377,'Raw Data'!$B$2:$B$377,A163)</f>
        <v/>
      </c>
      <c r="E163" s="5">
        <f>INDEX('Raw Data'!$A$2:$A$377,MATCH(1,INDEX(('Raw Data'!$B$2:$B$377=A163)*('Raw Data'!$E$2:$E$377=D163),0),0))</f>
        <v/>
      </c>
      <c r="F163" s="7">
        <f>_xlfn.MAXIFS('Raw Data'!$E$2:$E$377,'Raw Data'!$B$2:$B$377,A163)</f>
        <v/>
      </c>
      <c r="G163" s="5">
        <f>INDEX('Raw Data'!$A$2:$A$377,MATCH(1,INDEX(('Raw Data'!$B$2:$B$377=A163)*('Raw Data'!$E$2:$E$377=F163),0),0))</f>
        <v/>
      </c>
      <c r="H163" s="7">
        <f>F163-D163</f>
        <v/>
      </c>
      <c r="I163" s="5">
        <f>COUNTIF('Raw Data'!$B$2:$B$377,A163)</f>
        <v/>
      </c>
    </row>
    <row r="164">
      <c r="A164" s="5" t="n">
        <v>60508</v>
      </c>
      <c r="B164" s="6">
        <f>INDEX('Raw Data'!$D$2:$D$377,MATCH(A164,'Raw Data'!$B$2:$B$377,0))</f>
        <v/>
      </c>
      <c r="C164" s="5">
        <f>INDEX('Raw Data'!$C$2:$C$377,MATCH(A164,'Raw Data'!$B$2:$B$377,0))</f>
        <v/>
      </c>
      <c r="D164" s="7">
        <f>_xlfn.MINIFS('Raw Data'!$E$2:$E$377,'Raw Data'!$B$2:$B$377,A164)</f>
        <v/>
      </c>
      <c r="E164" s="5">
        <f>INDEX('Raw Data'!$A$2:$A$377,MATCH(1,INDEX(('Raw Data'!$B$2:$B$377=A164)*('Raw Data'!$E$2:$E$377=D164),0),0))</f>
        <v/>
      </c>
      <c r="F164" s="7">
        <f>_xlfn.MAXIFS('Raw Data'!$E$2:$E$377,'Raw Data'!$B$2:$B$377,A164)</f>
        <v/>
      </c>
      <c r="G164" s="5">
        <f>INDEX('Raw Data'!$A$2:$A$377,MATCH(1,INDEX(('Raw Data'!$B$2:$B$377=A164)*('Raw Data'!$E$2:$E$377=F164),0),0))</f>
        <v/>
      </c>
      <c r="H164" s="7">
        <f>F164-D164</f>
        <v/>
      </c>
      <c r="I164" s="5">
        <f>COUNTIF('Raw Data'!$B$2:$B$377,A164)</f>
        <v/>
      </c>
    </row>
    <row r="165">
      <c r="A165" s="5" t="n">
        <v>60509</v>
      </c>
      <c r="B165" s="6">
        <f>INDEX('Raw Data'!$D$2:$D$377,MATCH(A165,'Raw Data'!$B$2:$B$377,0))</f>
        <v/>
      </c>
      <c r="C165" s="5">
        <f>INDEX('Raw Data'!$C$2:$C$377,MATCH(A165,'Raw Data'!$B$2:$B$377,0))</f>
        <v/>
      </c>
      <c r="D165" s="7">
        <f>_xlfn.MINIFS('Raw Data'!$E$2:$E$377,'Raw Data'!$B$2:$B$377,A165)</f>
        <v/>
      </c>
      <c r="E165" s="5">
        <f>INDEX('Raw Data'!$A$2:$A$377,MATCH(1,INDEX(('Raw Data'!$B$2:$B$377=A165)*('Raw Data'!$E$2:$E$377=D165),0),0))</f>
        <v/>
      </c>
      <c r="F165" s="7">
        <f>_xlfn.MAXIFS('Raw Data'!$E$2:$E$377,'Raw Data'!$B$2:$B$377,A165)</f>
        <v/>
      </c>
      <c r="G165" s="5">
        <f>INDEX('Raw Data'!$A$2:$A$377,MATCH(1,INDEX(('Raw Data'!$B$2:$B$377=A165)*('Raw Data'!$E$2:$E$377=F165),0),0))</f>
        <v/>
      </c>
      <c r="H165" s="7">
        <f>F165-D165</f>
        <v/>
      </c>
      <c r="I165" s="5">
        <f>COUNTIF('Raw Data'!$B$2:$B$377,A165)</f>
        <v/>
      </c>
    </row>
    <row r="166">
      <c r="A166" s="5" t="n">
        <v>60510</v>
      </c>
      <c r="B166" s="6">
        <f>INDEX('Raw Data'!$D$2:$D$377,MATCH(A166,'Raw Data'!$B$2:$B$377,0))</f>
        <v/>
      </c>
      <c r="C166" s="5">
        <f>INDEX('Raw Data'!$C$2:$C$377,MATCH(A166,'Raw Data'!$B$2:$B$377,0))</f>
        <v/>
      </c>
      <c r="D166" s="7">
        <f>_xlfn.MINIFS('Raw Data'!$E$2:$E$377,'Raw Data'!$B$2:$B$377,A166)</f>
        <v/>
      </c>
      <c r="E166" s="5">
        <f>INDEX('Raw Data'!$A$2:$A$377,MATCH(1,INDEX(('Raw Data'!$B$2:$B$377=A166)*('Raw Data'!$E$2:$E$377=D166),0),0))</f>
        <v/>
      </c>
      <c r="F166" s="7">
        <f>_xlfn.MAXIFS('Raw Data'!$E$2:$E$377,'Raw Data'!$B$2:$B$377,A166)</f>
        <v/>
      </c>
      <c r="G166" s="5">
        <f>INDEX('Raw Data'!$A$2:$A$377,MATCH(1,INDEX(('Raw Data'!$B$2:$B$377=A166)*('Raw Data'!$E$2:$E$377=F166),0),0))</f>
        <v/>
      </c>
      <c r="H166" s="7">
        <f>F166-D166</f>
        <v/>
      </c>
      <c r="I166" s="5">
        <f>COUNTIF('Raw Data'!$B$2:$B$377,A166)</f>
        <v/>
      </c>
    </row>
    <row r="167">
      <c r="A167" s="5" t="n">
        <v>60511</v>
      </c>
      <c r="B167" s="6">
        <f>INDEX('Raw Data'!$D$2:$D$377,MATCH(A167,'Raw Data'!$B$2:$B$377,0))</f>
        <v/>
      </c>
      <c r="C167" s="5">
        <f>INDEX('Raw Data'!$C$2:$C$377,MATCH(A167,'Raw Data'!$B$2:$B$377,0))</f>
        <v/>
      </c>
      <c r="D167" s="7">
        <f>_xlfn.MINIFS('Raw Data'!$E$2:$E$377,'Raw Data'!$B$2:$B$377,A167)</f>
        <v/>
      </c>
      <c r="E167" s="5">
        <f>INDEX('Raw Data'!$A$2:$A$377,MATCH(1,INDEX(('Raw Data'!$B$2:$B$377=A167)*('Raw Data'!$E$2:$E$377=D167),0),0))</f>
        <v/>
      </c>
      <c r="F167" s="7">
        <f>_xlfn.MAXIFS('Raw Data'!$E$2:$E$377,'Raw Data'!$B$2:$B$377,A167)</f>
        <v/>
      </c>
      <c r="G167" s="5">
        <f>INDEX('Raw Data'!$A$2:$A$377,MATCH(1,INDEX(('Raw Data'!$B$2:$B$377=A167)*('Raw Data'!$E$2:$E$377=F167),0),0))</f>
        <v/>
      </c>
      <c r="H167" s="7">
        <f>F167-D167</f>
        <v/>
      </c>
      <c r="I167" s="5">
        <f>COUNTIF('Raw Data'!$B$2:$B$377,A167)</f>
        <v/>
      </c>
    </row>
    <row r="168">
      <c r="A168" s="5" t="n">
        <v>60512</v>
      </c>
      <c r="B168" s="6">
        <f>INDEX('Raw Data'!$D$2:$D$377,MATCH(A168,'Raw Data'!$B$2:$B$377,0))</f>
        <v/>
      </c>
      <c r="C168" s="5">
        <f>INDEX('Raw Data'!$C$2:$C$377,MATCH(A168,'Raw Data'!$B$2:$B$377,0))</f>
        <v/>
      </c>
      <c r="D168" s="7">
        <f>_xlfn.MINIFS('Raw Data'!$E$2:$E$377,'Raw Data'!$B$2:$B$377,A168)</f>
        <v/>
      </c>
      <c r="E168" s="5">
        <f>INDEX('Raw Data'!$A$2:$A$377,MATCH(1,INDEX(('Raw Data'!$B$2:$B$377=A168)*('Raw Data'!$E$2:$E$377=D168),0),0))</f>
        <v/>
      </c>
      <c r="F168" s="7">
        <f>_xlfn.MAXIFS('Raw Data'!$E$2:$E$377,'Raw Data'!$B$2:$B$377,A168)</f>
        <v/>
      </c>
      <c r="G168" s="5">
        <f>INDEX('Raw Data'!$A$2:$A$377,MATCH(1,INDEX(('Raw Data'!$B$2:$B$377=A168)*('Raw Data'!$E$2:$E$377=F168),0),0))</f>
        <v/>
      </c>
      <c r="H168" s="7">
        <f>F168-D168</f>
        <v/>
      </c>
      <c r="I168" s="5">
        <f>COUNTIF('Raw Data'!$B$2:$B$377,A168)</f>
        <v/>
      </c>
    </row>
    <row r="169">
      <c r="A169" s="5" t="n">
        <v>75192</v>
      </c>
      <c r="B169" s="6">
        <f>INDEX('Raw Data'!$D$2:$D$377,MATCH(A169,'Raw Data'!$B$2:$B$377,0))</f>
        <v/>
      </c>
      <c r="C169" s="5">
        <f>INDEX('Raw Data'!$C$2:$C$377,MATCH(A169,'Raw Data'!$B$2:$B$377,0))</f>
        <v/>
      </c>
      <c r="D169" s="7">
        <f>_xlfn.MINIFS('Raw Data'!$E$2:$E$377,'Raw Data'!$B$2:$B$377,A169)</f>
        <v/>
      </c>
      <c r="E169" s="5">
        <f>INDEX('Raw Data'!$A$2:$A$377,MATCH(1,INDEX(('Raw Data'!$B$2:$B$377=A169)*('Raw Data'!$E$2:$E$377=D169),0),0))</f>
        <v/>
      </c>
      <c r="F169" s="7">
        <f>_xlfn.MAXIFS('Raw Data'!$E$2:$E$377,'Raw Data'!$B$2:$B$377,A169)</f>
        <v/>
      </c>
      <c r="G169" s="5">
        <f>INDEX('Raw Data'!$A$2:$A$377,MATCH(1,INDEX(('Raw Data'!$B$2:$B$377=A169)*('Raw Data'!$E$2:$E$377=F169),0),0))</f>
        <v/>
      </c>
      <c r="H169" s="7">
        <f>F169-D169</f>
        <v/>
      </c>
      <c r="I169" s="5">
        <f>COUNTIF('Raw Data'!$B$2:$B$377,A169)</f>
        <v/>
      </c>
    </row>
    <row r="170">
      <c r="A170" s="5" t="n">
        <v>75325</v>
      </c>
      <c r="B170" s="6">
        <f>INDEX('Raw Data'!$D$2:$D$377,MATCH(A170,'Raw Data'!$B$2:$B$377,0))</f>
        <v/>
      </c>
      <c r="C170" s="5">
        <f>INDEX('Raw Data'!$C$2:$C$377,MATCH(A170,'Raw Data'!$B$2:$B$377,0))</f>
        <v/>
      </c>
      <c r="D170" s="7">
        <f>_xlfn.MINIFS('Raw Data'!$E$2:$E$377,'Raw Data'!$B$2:$B$377,A170)</f>
        <v/>
      </c>
      <c r="E170" s="5">
        <f>INDEX('Raw Data'!$A$2:$A$377,MATCH(1,INDEX(('Raw Data'!$B$2:$B$377=A170)*('Raw Data'!$E$2:$E$377=D170),0),0))</f>
        <v/>
      </c>
      <c r="F170" s="7">
        <f>_xlfn.MAXIFS('Raw Data'!$E$2:$E$377,'Raw Data'!$B$2:$B$377,A170)</f>
        <v/>
      </c>
      <c r="G170" s="5">
        <f>INDEX('Raw Data'!$A$2:$A$377,MATCH(1,INDEX(('Raw Data'!$B$2:$B$377=A170)*('Raw Data'!$E$2:$E$377=F170),0),0))</f>
        <v/>
      </c>
      <c r="H170" s="7">
        <f>F170-D170</f>
        <v/>
      </c>
      <c r="I170" s="5">
        <f>COUNTIF('Raw Data'!$B$2:$B$377,A170)</f>
        <v/>
      </c>
    </row>
    <row r="171">
      <c r="A171" s="5" t="n">
        <v>75331</v>
      </c>
      <c r="B171" s="6">
        <f>INDEX('Raw Data'!$D$2:$D$377,MATCH(A171,'Raw Data'!$B$2:$B$377,0))</f>
        <v/>
      </c>
      <c r="C171" s="5">
        <f>INDEX('Raw Data'!$C$2:$C$377,MATCH(A171,'Raw Data'!$B$2:$B$377,0))</f>
        <v/>
      </c>
      <c r="D171" s="7">
        <f>_xlfn.MINIFS('Raw Data'!$E$2:$E$377,'Raw Data'!$B$2:$B$377,A171)</f>
        <v/>
      </c>
      <c r="E171" s="5">
        <f>INDEX('Raw Data'!$A$2:$A$377,MATCH(1,INDEX(('Raw Data'!$B$2:$B$377=A171)*('Raw Data'!$E$2:$E$377=D171),0),0))</f>
        <v/>
      </c>
      <c r="F171" s="7">
        <f>_xlfn.MAXIFS('Raw Data'!$E$2:$E$377,'Raw Data'!$B$2:$B$377,A171)</f>
        <v/>
      </c>
      <c r="G171" s="5">
        <f>INDEX('Raw Data'!$A$2:$A$377,MATCH(1,INDEX(('Raw Data'!$B$2:$B$377=A171)*('Raw Data'!$E$2:$E$377=F171),0),0))</f>
        <v/>
      </c>
      <c r="H171" s="7">
        <f>F171-D171</f>
        <v/>
      </c>
      <c r="I171" s="5">
        <f>COUNTIF('Raw Data'!$B$2:$B$377,A171)</f>
        <v/>
      </c>
    </row>
    <row r="172">
      <c r="A172" s="5" t="n">
        <v>75333</v>
      </c>
      <c r="B172" s="6">
        <f>INDEX('Raw Data'!$D$2:$D$377,MATCH(A172,'Raw Data'!$B$2:$B$377,0))</f>
        <v/>
      </c>
      <c r="C172" s="5">
        <f>INDEX('Raw Data'!$C$2:$C$377,MATCH(A172,'Raw Data'!$B$2:$B$377,0))</f>
        <v/>
      </c>
      <c r="D172" s="7">
        <f>_xlfn.MINIFS('Raw Data'!$E$2:$E$377,'Raw Data'!$B$2:$B$377,A172)</f>
        <v/>
      </c>
      <c r="E172" s="5">
        <f>INDEX('Raw Data'!$A$2:$A$377,MATCH(1,INDEX(('Raw Data'!$B$2:$B$377=A172)*('Raw Data'!$E$2:$E$377=D172),0),0))</f>
        <v/>
      </c>
      <c r="F172" s="7">
        <f>_xlfn.MAXIFS('Raw Data'!$E$2:$E$377,'Raw Data'!$B$2:$B$377,A172)</f>
        <v/>
      </c>
      <c r="G172" s="5">
        <f>INDEX('Raw Data'!$A$2:$A$377,MATCH(1,INDEX(('Raw Data'!$B$2:$B$377=A172)*('Raw Data'!$E$2:$E$377=F172),0),0))</f>
        <v/>
      </c>
      <c r="H172" s="7">
        <f>F172-D172</f>
        <v/>
      </c>
      <c r="I172" s="5">
        <f>COUNTIF('Raw Data'!$B$2:$B$377,A172)</f>
        <v/>
      </c>
    </row>
    <row r="173">
      <c r="A173" s="5" t="n">
        <v>75345</v>
      </c>
      <c r="B173" s="6">
        <f>INDEX('Raw Data'!$D$2:$D$377,MATCH(A173,'Raw Data'!$B$2:$B$377,0))</f>
        <v/>
      </c>
      <c r="C173" s="5">
        <f>INDEX('Raw Data'!$C$2:$C$377,MATCH(A173,'Raw Data'!$B$2:$B$377,0))</f>
        <v/>
      </c>
      <c r="D173" s="7">
        <f>_xlfn.MINIFS('Raw Data'!$E$2:$E$377,'Raw Data'!$B$2:$B$377,A173)</f>
        <v/>
      </c>
      <c r="E173" s="5">
        <f>INDEX('Raw Data'!$A$2:$A$377,MATCH(1,INDEX(('Raw Data'!$B$2:$B$377=A173)*('Raw Data'!$E$2:$E$377=D173),0),0))</f>
        <v/>
      </c>
      <c r="F173" s="7">
        <f>_xlfn.MAXIFS('Raw Data'!$E$2:$E$377,'Raw Data'!$B$2:$B$377,A173)</f>
        <v/>
      </c>
      <c r="G173" s="5">
        <f>INDEX('Raw Data'!$A$2:$A$377,MATCH(1,INDEX(('Raw Data'!$B$2:$B$377=A173)*('Raw Data'!$E$2:$E$377=F173),0),0))</f>
        <v/>
      </c>
      <c r="H173" s="7">
        <f>F173-D173</f>
        <v/>
      </c>
      <c r="I173" s="5">
        <f>COUNTIF('Raw Data'!$B$2:$B$377,A173)</f>
        <v/>
      </c>
    </row>
    <row r="174">
      <c r="A174" s="5" t="n">
        <v>75347</v>
      </c>
      <c r="B174" s="6">
        <f>INDEX('Raw Data'!$D$2:$D$377,MATCH(A174,'Raw Data'!$B$2:$B$377,0))</f>
        <v/>
      </c>
      <c r="C174" s="5">
        <f>INDEX('Raw Data'!$C$2:$C$377,MATCH(A174,'Raw Data'!$B$2:$B$377,0))</f>
        <v/>
      </c>
      <c r="D174" s="7">
        <f>_xlfn.MINIFS('Raw Data'!$E$2:$E$377,'Raw Data'!$B$2:$B$377,A174)</f>
        <v/>
      </c>
      <c r="E174" s="5">
        <f>INDEX('Raw Data'!$A$2:$A$377,MATCH(1,INDEX(('Raw Data'!$B$2:$B$377=A174)*('Raw Data'!$E$2:$E$377=D174),0),0))</f>
        <v/>
      </c>
      <c r="F174" s="7">
        <f>_xlfn.MAXIFS('Raw Data'!$E$2:$E$377,'Raw Data'!$B$2:$B$377,A174)</f>
        <v/>
      </c>
      <c r="G174" s="5">
        <f>INDEX('Raw Data'!$A$2:$A$377,MATCH(1,INDEX(('Raw Data'!$B$2:$B$377=A174)*('Raw Data'!$E$2:$E$377=F174),0),0))</f>
        <v/>
      </c>
      <c r="H174" s="7">
        <f>F174-D174</f>
        <v/>
      </c>
      <c r="I174" s="5">
        <f>COUNTIF('Raw Data'!$B$2:$B$377,A174)</f>
        <v/>
      </c>
    </row>
    <row r="175">
      <c r="A175" s="5" t="n">
        <v>75349</v>
      </c>
      <c r="B175" s="6">
        <f>INDEX('Raw Data'!$D$2:$D$377,MATCH(A175,'Raw Data'!$B$2:$B$377,0))</f>
        <v/>
      </c>
      <c r="C175" s="5">
        <f>INDEX('Raw Data'!$C$2:$C$377,MATCH(A175,'Raw Data'!$B$2:$B$377,0))</f>
        <v/>
      </c>
      <c r="D175" s="7">
        <f>_xlfn.MINIFS('Raw Data'!$E$2:$E$377,'Raw Data'!$B$2:$B$377,A175)</f>
        <v/>
      </c>
      <c r="E175" s="5">
        <f>INDEX('Raw Data'!$A$2:$A$377,MATCH(1,INDEX(('Raw Data'!$B$2:$B$377=A175)*('Raw Data'!$E$2:$E$377=D175),0),0))</f>
        <v/>
      </c>
      <c r="F175" s="7">
        <f>_xlfn.MAXIFS('Raw Data'!$E$2:$E$377,'Raw Data'!$B$2:$B$377,A175)</f>
        <v/>
      </c>
      <c r="G175" s="5">
        <f>INDEX('Raw Data'!$A$2:$A$377,MATCH(1,INDEX(('Raw Data'!$B$2:$B$377=A175)*('Raw Data'!$E$2:$E$377=F175),0),0))</f>
        <v/>
      </c>
      <c r="H175" s="7">
        <f>F175-D175</f>
        <v/>
      </c>
      <c r="I175" s="5">
        <f>COUNTIF('Raw Data'!$B$2:$B$377,A175)</f>
        <v/>
      </c>
    </row>
    <row r="176">
      <c r="A176" s="5" t="n">
        <v>75373</v>
      </c>
      <c r="B176" s="6">
        <f>INDEX('Raw Data'!$D$2:$D$377,MATCH(A176,'Raw Data'!$B$2:$B$377,0))</f>
        <v/>
      </c>
      <c r="C176" s="5">
        <f>INDEX('Raw Data'!$C$2:$C$377,MATCH(A176,'Raw Data'!$B$2:$B$377,0))</f>
        <v/>
      </c>
      <c r="D176" s="7">
        <f>_xlfn.MINIFS('Raw Data'!$E$2:$E$377,'Raw Data'!$B$2:$B$377,A176)</f>
        <v/>
      </c>
      <c r="E176" s="5">
        <f>INDEX('Raw Data'!$A$2:$A$377,MATCH(1,INDEX(('Raw Data'!$B$2:$B$377=A176)*('Raw Data'!$E$2:$E$377=D176),0),0))</f>
        <v/>
      </c>
      <c r="F176" s="7">
        <f>_xlfn.MAXIFS('Raw Data'!$E$2:$E$377,'Raw Data'!$B$2:$B$377,A176)</f>
        <v/>
      </c>
      <c r="G176" s="5">
        <f>INDEX('Raw Data'!$A$2:$A$377,MATCH(1,INDEX(('Raw Data'!$B$2:$B$377=A176)*('Raw Data'!$E$2:$E$377=F176),0),0))</f>
        <v/>
      </c>
      <c r="H176" s="7">
        <f>F176-D176</f>
        <v/>
      </c>
      <c r="I176" s="5">
        <f>COUNTIF('Raw Data'!$B$2:$B$377,A176)</f>
        <v/>
      </c>
    </row>
    <row r="177">
      <c r="A177" s="5" t="n">
        <v>75383</v>
      </c>
      <c r="B177" s="6">
        <f>INDEX('Raw Data'!$D$2:$D$377,MATCH(A177,'Raw Data'!$B$2:$B$377,0))</f>
        <v/>
      </c>
      <c r="C177" s="5">
        <f>INDEX('Raw Data'!$C$2:$C$377,MATCH(A177,'Raw Data'!$B$2:$B$377,0))</f>
        <v/>
      </c>
      <c r="D177" s="7">
        <f>_xlfn.MINIFS('Raw Data'!$E$2:$E$377,'Raw Data'!$B$2:$B$377,A177)</f>
        <v/>
      </c>
      <c r="E177" s="5">
        <f>INDEX('Raw Data'!$A$2:$A$377,MATCH(1,INDEX(('Raw Data'!$B$2:$B$377=A177)*('Raw Data'!$E$2:$E$377=D177),0),0))</f>
        <v/>
      </c>
      <c r="F177" s="7">
        <f>_xlfn.MAXIFS('Raw Data'!$E$2:$E$377,'Raw Data'!$B$2:$B$377,A177)</f>
        <v/>
      </c>
      <c r="G177" s="5">
        <f>INDEX('Raw Data'!$A$2:$A$377,MATCH(1,INDEX(('Raw Data'!$B$2:$B$377=A177)*('Raw Data'!$E$2:$E$377=F177),0),0))</f>
        <v/>
      </c>
      <c r="H177" s="7">
        <f>F177-D177</f>
        <v/>
      </c>
      <c r="I177" s="5">
        <f>COUNTIF('Raw Data'!$B$2:$B$377,A177)</f>
        <v/>
      </c>
    </row>
    <row r="178">
      <c r="A178" s="5" t="n">
        <v>75397</v>
      </c>
      <c r="B178" s="6">
        <f>INDEX('Raw Data'!$D$2:$D$377,MATCH(A178,'Raw Data'!$B$2:$B$377,0))</f>
        <v/>
      </c>
      <c r="C178" s="5">
        <f>INDEX('Raw Data'!$C$2:$C$377,MATCH(A178,'Raw Data'!$B$2:$B$377,0))</f>
        <v/>
      </c>
      <c r="D178" s="7">
        <f>_xlfn.MINIFS('Raw Data'!$E$2:$E$377,'Raw Data'!$B$2:$B$377,A178)</f>
        <v/>
      </c>
      <c r="E178" s="5">
        <f>INDEX('Raw Data'!$A$2:$A$377,MATCH(1,INDEX(('Raw Data'!$B$2:$B$377=A178)*('Raw Data'!$E$2:$E$377=D178),0),0))</f>
        <v/>
      </c>
      <c r="F178" s="7">
        <f>_xlfn.MAXIFS('Raw Data'!$E$2:$E$377,'Raw Data'!$B$2:$B$377,A178)</f>
        <v/>
      </c>
      <c r="G178" s="5">
        <f>INDEX('Raw Data'!$A$2:$A$377,MATCH(1,INDEX(('Raw Data'!$B$2:$B$377=A178)*('Raw Data'!$E$2:$E$377=F178),0),0))</f>
        <v/>
      </c>
      <c r="H178" s="7">
        <f>F178-D178</f>
        <v/>
      </c>
      <c r="I178" s="5">
        <f>COUNTIF('Raw Data'!$B$2:$B$377,A178)</f>
        <v/>
      </c>
    </row>
    <row r="179">
      <c r="A179" s="5" t="n">
        <v>75400</v>
      </c>
      <c r="B179" s="6">
        <f>INDEX('Raw Data'!$D$2:$D$377,MATCH(A179,'Raw Data'!$B$2:$B$377,0))</f>
        <v/>
      </c>
      <c r="C179" s="5">
        <f>INDEX('Raw Data'!$C$2:$C$377,MATCH(A179,'Raw Data'!$B$2:$B$377,0))</f>
        <v/>
      </c>
      <c r="D179" s="7">
        <f>_xlfn.MINIFS('Raw Data'!$E$2:$E$377,'Raw Data'!$B$2:$B$377,A179)</f>
        <v/>
      </c>
      <c r="E179" s="5">
        <f>INDEX('Raw Data'!$A$2:$A$377,MATCH(1,INDEX(('Raw Data'!$B$2:$B$377=A179)*('Raw Data'!$E$2:$E$377=D179),0),0))</f>
        <v/>
      </c>
      <c r="F179" s="7">
        <f>_xlfn.MAXIFS('Raw Data'!$E$2:$E$377,'Raw Data'!$B$2:$B$377,A179)</f>
        <v/>
      </c>
      <c r="G179" s="5">
        <f>INDEX('Raw Data'!$A$2:$A$377,MATCH(1,INDEX(('Raw Data'!$B$2:$B$377=A179)*('Raw Data'!$E$2:$E$377=F179),0),0))</f>
        <v/>
      </c>
      <c r="H179" s="7">
        <f>F179-D179</f>
        <v/>
      </c>
      <c r="I179" s="5">
        <f>COUNTIF('Raw Data'!$B$2:$B$377,A179)</f>
        <v/>
      </c>
    </row>
    <row r="180">
      <c r="A180" s="5" t="n">
        <v>75401</v>
      </c>
      <c r="B180" s="6">
        <f>INDEX('Raw Data'!$D$2:$D$377,MATCH(A180,'Raw Data'!$B$2:$B$377,0))</f>
        <v/>
      </c>
      <c r="C180" s="5">
        <f>INDEX('Raw Data'!$C$2:$C$377,MATCH(A180,'Raw Data'!$B$2:$B$377,0))</f>
        <v/>
      </c>
      <c r="D180" s="7">
        <f>_xlfn.MINIFS('Raw Data'!$E$2:$E$377,'Raw Data'!$B$2:$B$377,A180)</f>
        <v/>
      </c>
      <c r="E180" s="5">
        <f>INDEX('Raw Data'!$A$2:$A$377,MATCH(1,INDEX(('Raw Data'!$B$2:$B$377=A180)*('Raw Data'!$E$2:$E$377=D180),0),0))</f>
        <v/>
      </c>
      <c r="F180" s="7">
        <f>_xlfn.MAXIFS('Raw Data'!$E$2:$E$377,'Raw Data'!$B$2:$B$377,A180)</f>
        <v/>
      </c>
      <c r="G180" s="5">
        <f>INDEX('Raw Data'!$A$2:$A$377,MATCH(1,INDEX(('Raw Data'!$B$2:$B$377=A180)*('Raw Data'!$E$2:$E$377=F180),0),0))</f>
        <v/>
      </c>
      <c r="H180" s="7">
        <f>F180-D180</f>
        <v/>
      </c>
      <c r="I180" s="5">
        <f>COUNTIF('Raw Data'!$B$2:$B$377,A180)</f>
        <v/>
      </c>
    </row>
    <row r="181">
      <c r="A181" s="5" t="n">
        <v>75403</v>
      </c>
      <c r="B181" s="6">
        <f>INDEX('Raw Data'!$D$2:$D$377,MATCH(A181,'Raw Data'!$B$2:$B$377,0))</f>
        <v/>
      </c>
      <c r="C181" s="5">
        <f>INDEX('Raw Data'!$C$2:$C$377,MATCH(A181,'Raw Data'!$B$2:$B$377,0))</f>
        <v/>
      </c>
      <c r="D181" s="7">
        <f>_xlfn.MINIFS('Raw Data'!$E$2:$E$377,'Raw Data'!$B$2:$B$377,A181)</f>
        <v/>
      </c>
      <c r="E181" s="5">
        <f>INDEX('Raw Data'!$A$2:$A$377,MATCH(1,INDEX(('Raw Data'!$B$2:$B$377=A181)*('Raw Data'!$E$2:$E$377=D181),0),0))</f>
        <v/>
      </c>
      <c r="F181" s="7">
        <f>_xlfn.MAXIFS('Raw Data'!$E$2:$E$377,'Raw Data'!$B$2:$B$377,A181)</f>
        <v/>
      </c>
      <c r="G181" s="5">
        <f>INDEX('Raw Data'!$A$2:$A$377,MATCH(1,INDEX(('Raw Data'!$B$2:$B$377=A181)*('Raw Data'!$E$2:$E$377=F181),0),0))</f>
        <v/>
      </c>
      <c r="H181" s="7">
        <f>F181-D181</f>
        <v/>
      </c>
      <c r="I181" s="5">
        <f>COUNTIF('Raw Data'!$B$2:$B$377,A181)</f>
        <v/>
      </c>
    </row>
    <row r="182">
      <c r="A182" s="5" t="n">
        <v>75404</v>
      </c>
      <c r="B182" s="6">
        <f>INDEX('Raw Data'!$D$2:$D$377,MATCH(A182,'Raw Data'!$B$2:$B$377,0))</f>
        <v/>
      </c>
      <c r="C182" s="5">
        <f>INDEX('Raw Data'!$C$2:$C$377,MATCH(A182,'Raw Data'!$B$2:$B$377,0))</f>
        <v/>
      </c>
      <c r="D182" s="7">
        <f>_xlfn.MINIFS('Raw Data'!$E$2:$E$377,'Raw Data'!$B$2:$B$377,A182)</f>
        <v/>
      </c>
      <c r="E182" s="5">
        <f>INDEX('Raw Data'!$A$2:$A$377,MATCH(1,INDEX(('Raw Data'!$B$2:$B$377=A182)*('Raw Data'!$E$2:$E$377=D182),0),0))</f>
        <v/>
      </c>
      <c r="F182" s="7">
        <f>_xlfn.MAXIFS('Raw Data'!$E$2:$E$377,'Raw Data'!$B$2:$B$377,A182)</f>
        <v/>
      </c>
      <c r="G182" s="5">
        <f>INDEX('Raw Data'!$A$2:$A$377,MATCH(1,INDEX(('Raw Data'!$B$2:$B$377=A182)*('Raw Data'!$E$2:$E$377=F182),0),0))</f>
        <v/>
      </c>
      <c r="H182" s="7">
        <f>F182-D182</f>
        <v/>
      </c>
      <c r="I182" s="5">
        <f>COUNTIF('Raw Data'!$B$2:$B$377,A182)</f>
        <v/>
      </c>
    </row>
    <row r="183">
      <c r="A183" s="5" t="n">
        <v>75405</v>
      </c>
      <c r="B183" s="6">
        <f>INDEX('Raw Data'!$D$2:$D$377,MATCH(A183,'Raw Data'!$B$2:$B$377,0))</f>
        <v/>
      </c>
      <c r="C183" s="5">
        <f>INDEX('Raw Data'!$C$2:$C$377,MATCH(A183,'Raw Data'!$B$2:$B$377,0))</f>
        <v/>
      </c>
      <c r="D183" s="7">
        <f>_xlfn.MINIFS('Raw Data'!$E$2:$E$377,'Raw Data'!$B$2:$B$377,A183)</f>
        <v/>
      </c>
      <c r="E183" s="5">
        <f>INDEX('Raw Data'!$A$2:$A$377,MATCH(1,INDEX(('Raw Data'!$B$2:$B$377=A183)*('Raw Data'!$E$2:$E$377=D183),0),0))</f>
        <v/>
      </c>
      <c r="F183" s="7">
        <f>_xlfn.MAXIFS('Raw Data'!$E$2:$E$377,'Raw Data'!$B$2:$B$377,A183)</f>
        <v/>
      </c>
      <c r="G183" s="5">
        <f>INDEX('Raw Data'!$A$2:$A$377,MATCH(1,INDEX(('Raw Data'!$B$2:$B$377=A183)*('Raw Data'!$E$2:$E$377=F183),0),0))</f>
        <v/>
      </c>
      <c r="H183" s="7">
        <f>F183-D183</f>
        <v/>
      </c>
      <c r="I183" s="5">
        <f>COUNTIF('Raw Data'!$B$2:$B$377,A183)</f>
        <v/>
      </c>
    </row>
    <row r="184">
      <c r="A184" s="5" t="n">
        <v>75406</v>
      </c>
      <c r="B184" s="6">
        <f>INDEX('Raw Data'!$D$2:$D$377,MATCH(A184,'Raw Data'!$B$2:$B$377,0))</f>
        <v/>
      </c>
      <c r="C184" s="5">
        <f>INDEX('Raw Data'!$C$2:$C$377,MATCH(A184,'Raw Data'!$B$2:$B$377,0))</f>
        <v/>
      </c>
      <c r="D184" s="7">
        <f>_xlfn.MINIFS('Raw Data'!$E$2:$E$377,'Raw Data'!$B$2:$B$377,A184)</f>
        <v/>
      </c>
      <c r="E184" s="5">
        <f>INDEX('Raw Data'!$A$2:$A$377,MATCH(1,INDEX(('Raw Data'!$B$2:$B$377=A184)*('Raw Data'!$E$2:$E$377=D184),0),0))</f>
        <v/>
      </c>
      <c r="F184" s="7">
        <f>_xlfn.MAXIFS('Raw Data'!$E$2:$E$377,'Raw Data'!$B$2:$B$377,A184)</f>
        <v/>
      </c>
      <c r="G184" s="5">
        <f>INDEX('Raw Data'!$A$2:$A$377,MATCH(1,INDEX(('Raw Data'!$B$2:$B$377=A184)*('Raw Data'!$E$2:$E$377=F184),0),0))</f>
        <v/>
      </c>
      <c r="H184" s="7">
        <f>F184-D184</f>
        <v/>
      </c>
      <c r="I184" s="5">
        <f>COUNTIF('Raw Data'!$B$2:$B$377,A184)</f>
        <v/>
      </c>
    </row>
    <row r="185">
      <c r="A185" s="5" t="n">
        <v>75407</v>
      </c>
      <c r="B185" s="6">
        <f>INDEX('Raw Data'!$D$2:$D$377,MATCH(A185,'Raw Data'!$B$2:$B$377,0))</f>
        <v/>
      </c>
      <c r="C185" s="5">
        <f>INDEX('Raw Data'!$C$2:$C$377,MATCH(A185,'Raw Data'!$B$2:$B$377,0))</f>
        <v/>
      </c>
      <c r="D185" s="7">
        <f>_xlfn.MINIFS('Raw Data'!$E$2:$E$377,'Raw Data'!$B$2:$B$377,A185)</f>
        <v/>
      </c>
      <c r="E185" s="5">
        <f>INDEX('Raw Data'!$A$2:$A$377,MATCH(1,INDEX(('Raw Data'!$B$2:$B$377=A185)*('Raw Data'!$E$2:$E$377=D185),0),0))</f>
        <v/>
      </c>
      <c r="F185" s="7">
        <f>_xlfn.MAXIFS('Raw Data'!$E$2:$E$377,'Raw Data'!$B$2:$B$377,A185)</f>
        <v/>
      </c>
      <c r="G185" s="5">
        <f>INDEX('Raw Data'!$A$2:$A$377,MATCH(1,INDEX(('Raw Data'!$B$2:$B$377=A185)*('Raw Data'!$E$2:$E$377=F185),0),0))</f>
        <v/>
      </c>
      <c r="H185" s="7">
        <f>F185-D185</f>
        <v/>
      </c>
      <c r="I185" s="5">
        <f>COUNTIF('Raw Data'!$B$2:$B$377,A185)</f>
        <v/>
      </c>
    </row>
    <row r="186">
      <c r="A186" s="5" t="n">
        <v>75408</v>
      </c>
      <c r="B186" s="6">
        <f>INDEX('Raw Data'!$D$2:$D$377,MATCH(A186,'Raw Data'!$B$2:$B$377,0))</f>
        <v/>
      </c>
      <c r="C186" s="5">
        <f>INDEX('Raw Data'!$C$2:$C$377,MATCH(A186,'Raw Data'!$B$2:$B$377,0))</f>
        <v/>
      </c>
      <c r="D186" s="7">
        <f>_xlfn.MINIFS('Raw Data'!$E$2:$E$377,'Raw Data'!$B$2:$B$377,A186)</f>
        <v/>
      </c>
      <c r="E186" s="5">
        <f>INDEX('Raw Data'!$A$2:$A$377,MATCH(1,INDEX(('Raw Data'!$B$2:$B$377=A186)*('Raw Data'!$E$2:$E$377=D186),0),0))</f>
        <v/>
      </c>
      <c r="F186" s="7">
        <f>_xlfn.MAXIFS('Raw Data'!$E$2:$E$377,'Raw Data'!$B$2:$B$377,A186)</f>
        <v/>
      </c>
      <c r="G186" s="5">
        <f>INDEX('Raw Data'!$A$2:$A$377,MATCH(1,INDEX(('Raw Data'!$B$2:$B$377=A186)*('Raw Data'!$E$2:$E$377=F186),0),0))</f>
        <v/>
      </c>
      <c r="H186" s="7">
        <f>F186-D186</f>
        <v/>
      </c>
      <c r="I186" s="5">
        <f>COUNTIF('Raw Data'!$B$2:$B$377,A186)</f>
        <v/>
      </c>
    </row>
    <row r="187">
      <c r="A187" s="5" t="n">
        <v>75409</v>
      </c>
      <c r="B187" s="6">
        <f>INDEX('Raw Data'!$D$2:$D$377,MATCH(A187,'Raw Data'!$B$2:$B$377,0))</f>
        <v/>
      </c>
      <c r="C187" s="5">
        <f>INDEX('Raw Data'!$C$2:$C$377,MATCH(A187,'Raw Data'!$B$2:$B$377,0))</f>
        <v/>
      </c>
      <c r="D187" s="7">
        <f>_xlfn.MINIFS('Raw Data'!$E$2:$E$377,'Raw Data'!$B$2:$B$377,A187)</f>
        <v/>
      </c>
      <c r="E187" s="5">
        <f>INDEX('Raw Data'!$A$2:$A$377,MATCH(1,INDEX(('Raw Data'!$B$2:$B$377=A187)*('Raw Data'!$E$2:$E$377=D187),0),0))</f>
        <v/>
      </c>
      <c r="F187" s="7">
        <f>_xlfn.MAXIFS('Raw Data'!$E$2:$E$377,'Raw Data'!$B$2:$B$377,A187)</f>
        <v/>
      </c>
      <c r="G187" s="5">
        <f>INDEX('Raw Data'!$A$2:$A$377,MATCH(1,INDEX(('Raw Data'!$B$2:$B$377=A187)*('Raw Data'!$E$2:$E$377=F187),0),0))</f>
        <v/>
      </c>
      <c r="H187" s="7">
        <f>F187-D187</f>
        <v/>
      </c>
      <c r="I187" s="5">
        <f>COUNTIF('Raw Data'!$B$2:$B$377,A187)</f>
        <v/>
      </c>
    </row>
    <row r="188">
      <c r="A188" s="5" t="n">
        <v>75410</v>
      </c>
      <c r="B188" s="6">
        <f>INDEX('Raw Data'!$D$2:$D$377,MATCH(A188,'Raw Data'!$B$2:$B$377,0))</f>
        <v/>
      </c>
      <c r="C188" s="5">
        <f>INDEX('Raw Data'!$C$2:$C$377,MATCH(A188,'Raw Data'!$B$2:$B$377,0))</f>
        <v/>
      </c>
      <c r="D188" s="7">
        <f>_xlfn.MINIFS('Raw Data'!$E$2:$E$377,'Raw Data'!$B$2:$B$377,A188)</f>
        <v/>
      </c>
      <c r="E188" s="5">
        <f>INDEX('Raw Data'!$A$2:$A$377,MATCH(1,INDEX(('Raw Data'!$B$2:$B$377=A188)*('Raw Data'!$E$2:$E$377=D188),0),0))</f>
        <v/>
      </c>
      <c r="F188" s="7">
        <f>_xlfn.MAXIFS('Raw Data'!$E$2:$E$377,'Raw Data'!$B$2:$B$377,A188)</f>
        <v/>
      </c>
      <c r="G188" s="5">
        <f>INDEX('Raw Data'!$A$2:$A$377,MATCH(1,INDEX(('Raw Data'!$B$2:$B$377=A188)*('Raw Data'!$E$2:$E$377=F188),0),0))</f>
        <v/>
      </c>
      <c r="H188" s="7">
        <f>F188-D188</f>
        <v/>
      </c>
      <c r="I188" s="5">
        <f>COUNTIF('Raw Data'!$B$2:$B$377,A188)</f>
        <v/>
      </c>
    </row>
    <row r="189">
      <c r="A189" s="5" t="n">
        <v>75411</v>
      </c>
      <c r="B189" s="6">
        <f>INDEX('Raw Data'!$D$2:$D$377,MATCH(A189,'Raw Data'!$B$2:$B$377,0))</f>
        <v/>
      </c>
      <c r="C189" s="5">
        <f>INDEX('Raw Data'!$C$2:$C$377,MATCH(A189,'Raw Data'!$B$2:$B$377,0))</f>
        <v/>
      </c>
      <c r="D189" s="7">
        <f>_xlfn.MINIFS('Raw Data'!$E$2:$E$377,'Raw Data'!$B$2:$B$377,A189)</f>
        <v/>
      </c>
      <c r="E189" s="5">
        <f>INDEX('Raw Data'!$A$2:$A$377,MATCH(1,INDEX(('Raw Data'!$B$2:$B$377=A189)*('Raw Data'!$E$2:$E$377=D189),0),0))</f>
        <v/>
      </c>
      <c r="F189" s="7">
        <f>_xlfn.MAXIFS('Raw Data'!$E$2:$E$377,'Raw Data'!$B$2:$B$377,A189)</f>
        <v/>
      </c>
      <c r="G189" s="5">
        <f>INDEX('Raw Data'!$A$2:$A$377,MATCH(1,INDEX(('Raw Data'!$B$2:$B$377=A189)*('Raw Data'!$E$2:$E$377=F189),0),0))</f>
        <v/>
      </c>
      <c r="H189" s="7">
        <f>F189-D189</f>
        <v/>
      </c>
      <c r="I189" s="5">
        <f>COUNTIF('Raw Data'!$B$2:$B$377,A189)</f>
        <v/>
      </c>
    </row>
    <row r="190">
      <c r="A190" s="5" t="n">
        <v>75412</v>
      </c>
      <c r="B190" s="6">
        <f>INDEX('Raw Data'!$D$2:$D$377,MATCH(A190,'Raw Data'!$B$2:$B$377,0))</f>
        <v/>
      </c>
      <c r="C190" s="5">
        <f>INDEX('Raw Data'!$C$2:$C$377,MATCH(A190,'Raw Data'!$B$2:$B$377,0))</f>
        <v/>
      </c>
      <c r="D190" s="7">
        <f>_xlfn.MINIFS('Raw Data'!$E$2:$E$377,'Raw Data'!$B$2:$B$377,A190)</f>
        <v/>
      </c>
      <c r="E190" s="5">
        <f>INDEX('Raw Data'!$A$2:$A$377,MATCH(1,INDEX(('Raw Data'!$B$2:$B$377=A190)*('Raw Data'!$E$2:$E$377=D190),0),0))</f>
        <v/>
      </c>
      <c r="F190" s="7">
        <f>_xlfn.MAXIFS('Raw Data'!$E$2:$E$377,'Raw Data'!$B$2:$B$377,A190)</f>
        <v/>
      </c>
      <c r="G190" s="5">
        <f>INDEX('Raw Data'!$A$2:$A$377,MATCH(1,INDEX(('Raw Data'!$B$2:$B$377=A190)*('Raw Data'!$E$2:$E$377=F190),0),0))</f>
        <v/>
      </c>
      <c r="H190" s="7">
        <f>F190-D190</f>
        <v/>
      </c>
      <c r="I190" s="5">
        <f>COUNTIF('Raw Data'!$B$2:$B$377,A190)</f>
        <v/>
      </c>
    </row>
    <row r="191">
      <c r="A191" s="5" t="n">
        <v>75413</v>
      </c>
      <c r="B191" s="6">
        <f>INDEX('Raw Data'!$D$2:$D$377,MATCH(A191,'Raw Data'!$B$2:$B$377,0))</f>
        <v/>
      </c>
      <c r="C191" s="5">
        <f>INDEX('Raw Data'!$C$2:$C$377,MATCH(A191,'Raw Data'!$B$2:$B$377,0))</f>
        <v/>
      </c>
      <c r="D191" s="7">
        <f>_xlfn.MINIFS('Raw Data'!$E$2:$E$377,'Raw Data'!$B$2:$B$377,A191)</f>
        <v/>
      </c>
      <c r="E191" s="5">
        <f>INDEX('Raw Data'!$A$2:$A$377,MATCH(1,INDEX(('Raw Data'!$B$2:$B$377=A191)*('Raw Data'!$E$2:$E$377=D191),0),0))</f>
        <v/>
      </c>
      <c r="F191" s="7">
        <f>_xlfn.MAXIFS('Raw Data'!$E$2:$E$377,'Raw Data'!$B$2:$B$377,A191)</f>
        <v/>
      </c>
      <c r="G191" s="5">
        <f>INDEX('Raw Data'!$A$2:$A$377,MATCH(1,INDEX(('Raw Data'!$B$2:$B$377=A191)*('Raw Data'!$E$2:$E$377=F191),0),0))</f>
        <v/>
      </c>
      <c r="H191" s="7">
        <f>F191-D191</f>
        <v/>
      </c>
      <c r="I191" s="5">
        <f>COUNTIF('Raw Data'!$B$2:$B$377,A191)</f>
        <v/>
      </c>
    </row>
    <row r="192">
      <c r="A192" s="5" t="n">
        <v>75414</v>
      </c>
      <c r="B192" s="6">
        <f>INDEX('Raw Data'!$D$2:$D$377,MATCH(A192,'Raw Data'!$B$2:$B$377,0))</f>
        <v/>
      </c>
      <c r="C192" s="5">
        <f>INDEX('Raw Data'!$C$2:$C$377,MATCH(A192,'Raw Data'!$B$2:$B$377,0))</f>
        <v/>
      </c>
      <c r="D192" s="7">
        <f>_xlfn.MINIFS('Raw Data'!$E$2:$E$377,'Raw Data'!$B$2:$B$377,A192)</f>
        <v/>
      </c>
      <c r="E192" s="5">
        <f>INDEX('Raw Data'!$A$2:$A$377,MATCH(1,INDEX(('Raw Data'!$B$2:$B$377=A192)*('Raw Data'!$E$2:$E$377=D192),0),0))</f>
        <v/>
      </c>
      <c r="F192" s="7">
        <f>_xlfn.MAXIFS('Raw Data'!$E$2:$E$377,'Raw Data'!$B$2:$B$377,A192)</f>
        <v/>
      </c>
      <c r="G192" s="5">
        <f>INDEX('Raw Data'!$A$2:$A$377,MATCH(1,INDEX(('Raw Data'!$B$2:$B$377=A192)*('Raw Data'!$E$2:$E$377=F192),0),0))</f>
        <v/>
      </c>
      <c r="H192" s="7">
        <f>F192-D192</f>
        <v/>
      </c>
      <c r="I192" s="5">
        <f>COUNTIF('Raw Data'!$B$2:$B$377,A192)</f>
        <v/>
      </c>
    </row>
    <row r="193">
      <c r="A193" s="5" t="n">
        <v>75415</v>
      </c>
      <c r="B193" s="6">
        <f>INDEX('Raw Data'!$D$2:$D$377,MATCH(A193,'Raw Data'!$B$2:$B$377,0))</f>
        <v/>
      </c>
      <c r="C193" s="5">
        <f>INDEX('Raw Data'!$C$2:$C$377,MATCH(A193,'Raw Data'!$B$2:$B$377,0))</f>
        <v/>
      </c>
      <c r="D193" s="7">
        <f>_xlfn.MINIFS('Raw Data'!$E$2:$E$377,'Raw Data'!$B$2:$B$377,A193)</f>
        <v/>
      </c>
      <c r="E193" s="5">
        <f>INDEX('Raw Data'!$A$2:$A$377,MATCH(1,INDEX(('Raw Data'!$B$2:$B$377=A193)*('Raw Data'!$E$2:$E$377=D193),0),0))</f>
        <v/>
      </c>
      <c r="F193" s="7">
        <f>_xlfn.MAXIFS('Raw Data'!$E$2:$E$377,'Raw Data'!$B$2:$B$377,A193)</f>
        <v/>
      </c>
      <c r="G193" s="5">
        <f>INDEX('Raw Data'!$A$2:$A$377,MATCH(1,INDEX(('Raw Data'!$B$2:$B$377=A193)*('Raw Data'!$E$2:$E$377=F193),0),0))</f>
        <v/>
      </c>
      <c r="H193" s="7">
        <f>F193-D193</f>
        <v/>
      </c>
      <c r="I193" s="5">
        <f>COUNTIF('Raw Data'!$B$2:$B$377,A193)</f>
        <v/>
      </c>
    </row>
    <row r="194">
      <c r="A194" s="5" t="n">
        <v>75416</v>
      </c>
      <c r="B194" s="6">
        <f>INDEX('Raw Data'!$D$2:$D$377,MATCH(A194,'Raw Data'!$B$2:$B$377,0))</f>
        <v/>
      </c>
      <c r="C194" s="5">
        <f>INDEX('Raw Data'!$C$2:$C$377,MATCH(A194,'Raw Data'!$B$2:$B$377,0))</f>
        <v/>
      </c>
      <c r="D194" s="7">
        <f>_xlfn.MINIFS('Raw Data'!$E$2:$E$377,'Raw Data'!$B$2:$B$377,A194)</f>
        <v/>
      </c>
      <c r="E194" s="5">
        <f>INDEX('Raw Data'!$A$2:$A$377,MATCH(1,INDEX(('Raw Data'!$B$2:$B$377=A194)*('Raw Data'!$E$2:$E$377=D194),0),0))</f>
        <v/>
      </c>
      <c r="F194" s="7">
        <f>_xlfn.MAXIFS('Raw Data'!$E$2:$E$377,'Raw Data'!$B$2:$B$377,A194)</f>
        <v/>
      </c>
      <c r="G194" s="5">
        <f>INDEX('Raw Data'!$A$2:$A$377,MATCH(1,INDEX(('Raw Data'!$B$2:$B$377=A194)*('Raw Data'!$E$2:$E$377=F194),0),0))</f>
        <v/>
      </c>
      <c r="H194" s="7">
        <f>F194-D194</f>
        <v/>
      </c>
      <c r="I194" s="5">
        <f>COUNTIF('Raw Data'!$B$2:$B$377,A194)</f>
        <v/>
      </c>
    </row>
    <row r="195">
      <c r="A195" s="5" t="n">
        <v>75417</v>
      </c>
      <c r="B195" s="6">
        <f>INDEX('Raw Data'!$D$2:$D$377,MATCH(A195,'Raw Data'!$B$2:$B$377,0))</f>
        <v/>
      </c>
      <c r="C195" s="5">
        <f>INDEX('Raw Data'!$C$2:$C$377,MATCH(A195,'Raw Data'!$B$2:$B$377,0))</f>
        <v/>
      </c>
      <c r="D195" s="7">
        <f>_xlfn.MINIFS('Raw Data'!$E$2:$E$377,'Raw Data'!$B$2:$B$377,A195)</f>
        <v/>
      </c>
      <c r="E195" s="5">
        <f>INDEX('Raw Data'!$A$2:$A$377,MATCH(1,INDEX(('Raw Data'!$B$2:$B$377=A195)*('Raw Data'!$E$2:$E$377=D195),0),0))</f>
        <v/>
      </c>
      <c r="F195" s="7">
        <f>_xlfn.MAXIFS('Raw Data'!$E$2:$E$377,'Raw Data'!$B$2:$B$377,A195)</f>
        <v/>
      </c>
      <c r="G195" s="5">
        <f>INDEX('Raw Data'!$A$2:$A$377,MATCH(1,INDEX(('Raw Data'!$B$2:$B$377=A195)*('Raw Data'!$E$2:$E$377=F195),0),0))</f>
        <v/>
      </c>
      <c r="H195" s="7">
        <f>F195-D195</f>
        <v/>
      </c>
      <c r="I195" s="5">
        <f>COUNTIF('Raw Data'!$B$2:$B$377,A195)</f>
        <v/>
      </c>
    </row>
    <row r="196">
      <c r="A196" s="5" t="n">
        <v>75418</v>
      </c>
      <c r="B196" s="6">
        <f>INDEX('Raw Data'!$D$2:$D$377,MATCH(A196,'Raw Data'!$B$2:$B$377,0))</f>
        <v/>
      </c>
      <c r="C196" s="5">
        <f>INDEX('Raw Data'!$C$2:$C$377,MATCH(A196,'Raw Data'!$B$2:$B$377,0))</f>
        <v/>
      </c>
      <c r="D196" s="7">
        <f>_xlfn.MINIFS('Raw Data'!$E$2:$E$377,'Raw Data'!$B$2:$B$377,A196)</f>
        <v/>
      </c>
      <c r="E196" s="5">
        <f>INDEX('Raw Data'!$A$2:$A$377,MATCH(1,INDEX(('Raw Data'!$B$2:$B$377=A196)*('Raw Data'!$E$2:$E$377=D196),0),0))</f>
        <v/>
      </c>
      <c r="F196" s="7">
        <f>_xlfn.MAXIFS('Raw Data'!$E$2:$E$377,'Raw Data'!$B$2:$B$377,A196)</f>
        <v/>
      </c>
      <c r="G196" s="5">
        <f>INDEX('Raw Data'!$A$2:$A$377,MATCH(1,INDEX(('Raw Data'!$B$2:$B$377=A196)*('Raw Data'!$E$2:$E$377=F196),0),0))</f>
        <v/>
      </c>
      <c r="H196" s="7">
        <f>F196-D196</f>
        <v/>
      </c>
      <c r="I196" s="5">
        <f>COUNTIF('Raw Data'!$B$2:$B$377,A196)</f>
        <v/>
      </c>
    </row>
    <row r="197">
      <c r="A197" s="5" t="n">
        <v>75419</v>
      </c>
      <c r="B197" s="6">
        <f>INDEX('Raw Data'!$D$2:$D$377,MATCH(A197,'Raw Data'!$B$2:$B$377,0))</f>
        <v/>
      </c>
      <c r="C197" s="5">
        <f>INDEX('Raw Data'!$C$2:$C$377,MATCH(A197,'Raw Data'!$B$2:$B$377,0))</f>
        <v/>
      </c>
      <c r="D197" s="7">
        <f>_xlfn.MINIFS('Raw Data'!$E$2:$E$377,'Raw Data'!$B$2:$B$377,A197)</f>
        <v/>
      </c>
      <c r="E197" s="5">
        <f>INDEX('Raw Data'!$A$2:$A$377,MATCH(1,INDEX(('Raw Data'!$B$2:$B$377=A197)*('Raw Data'!$E$2:$E$377=D197),0),0))</f>
        <v/>
      </c>
      <c r="F197" s="7">
        <f>_xlfn.MAXIFS('Raw Data'!$E$2:$E$377,'Raw Data'!$B$2:$B$377,A197)</f>
        <v/>
      </c>
      <c r="G197" s="5">
        <f>INDEX('Raw Data'!$A$2:$A$377,MATCH(1,INDEX(('Raw Data'!$B$2:$B$377=A197)*('Raw Data'!$E$2:$E$377=F197),0),0))</f>
        <v/>
      </c>
      <c r="H197" s="7">
        <f>F197-D197</f>
        <v/>
      </c>
      <c r="I197" s="5">
        <f>COUNTIF('Raw Data'!$B$2:$B$377,A197)</f>
        <v/>
      </c>
    </row>
    <row r="198">
      <c r="A198" s="5" t="n">
        <v>75420</v>
      </c>
      <c r="B198" s="6">
        <f>INDEX('Raw Data'!$D$2:$D$377,MATCH(A198,'Raw Data'!$B$2:$B$377,0))</f>
        <v/>
      </c>
      <c r="C198" s="5">
        <f>INDEX('Raw Data'!$C$2:$C$377,MATCH(A198,'Raw Data'!$B$2:$B$377,0))</f>
        <v/>
      </c>
      <c r="D198" s="7">
        <f>_xlfn.MINIFS('Raw Data'!$E$2:$E$377,'Raw Data'!$B$2:$B$377,A198)</f>
        <v/>
      </c>
      <c r="E198" s="5">
        <f>INDEX('Raw Data'!$A$2:$A$377,MATCH(1,INDEX(('Raw Data'!$B$2:$B$377=A198)*('Raw Data'!$E$2:$E$377=D198),0),0))</f>
        <v/>
      </c>
      <c r="F198" s="7">
        <f>_xlfn.MAXIFS('Raw Data'!$E$2:$E$377,'Raw Data'!$B$2:$B$377,A198)</f>
        <v/>
      </c>
      <c r="G198" s="5">
        <f>INDEX('Raw Data'!$A$2:$A$377,MATCH(1,INDEX(('Raw Data'!$B$2:$B$377=A198)*('Raw Data'!$E$2:$E$377=F198),0),0))</f>
        <v/>
      </c>
      <c r="H198" s="7">
        <f>F198-D198</f>
        <v/>
      </c>
      <c r="I198" s="5">
        <f>COUNTIF('Raw Data'!$B$2:$B$377,A198)</f>
        <v/>
      </c>
    </row>
    <row r="199">
      <c r="A199" s="5" t="n">
        <v>75421</v>
      </c>
      <c r="B199" s="6">
        <f>INDEX('Raw Data'!$D$2:$D$377,MATCH(A199,'Raw Data'!$B$2:$B$377,0))</f>
        <v/>
      </c>
      <c r="C199" s="5">
        <f>INDEX('Raw Data'!$C$2:$C$377,MATCH(A199,'Raw Data'!$B$2:$B$377,0))</f>
        <v/>
      </c>
      <c r="D199" s="7">
        <f>_xlfn.MINIFS('Raw Data'!$E$2:$E$377,'Raw Data'!$B$2:$B$377,A199)</f>
        <v/>
      </c>
      <c r="E199" s="5">
        <f>INDEX('Raw Data'!$A$2:$A$377,MATCH(1,INDEX(('Raw Data'!$B$2:$B$377=A199)*('Raw Data'!$E$2:$E$377=D199),0),0))</f>
        <v/>
      </c>
      <c r="F199" s="7">
        <f>_xlfn.MAXIFS('Raw Data'!$E$2:$E$377,'Raw Data'!$B$2:$B$377,A199)</f>
        <v/>
      </c>
      <c r="G199" s="5">
        <f>INDEX('Raw Data'!$A$2:$A$377,MATCH(1,INDEX(('Raw Data'!$B$2:$B$377=A199)*('Raw Data'!$E$2:$E$377=F199),0),0))</f>
        <v/>
      </c>
      <c r="H199" s="7">
        <f>F199-D199</f>
        <v/>
      </c>
      <c r="I199" s="5">
        <f>COUNTIF('Raw Data'!$B$2:$B$377,A199)</f>
        <v/>
      </c>
    </row>
    <row r="200">
      <c r="A200" s="5" t="n">
        <v>75422</v>
      </c>
      <c r="B200" s="6">
        <f>INDEX('Raw Data'!$D$2:$D$377,MATCH(A200,'Raw Data'!$B$2:$B$377,0))</f>
        <v/>
      </c>
      <c r="C200" s="5">
        <f>INDEX('Raw Data'!$C$2:$C$377,MATCH(A200,'Raw Data'!$B$2:$B$377,0))</f>
        <v/>
      </c>
      <c r="D200" s="7">
        <f>_xlfn.MINIFS('Raw Data'!$E$2:$E$377,'Raw Data'!$B$2:$B$377,A200)</f>
        <v/>
      </c>
      <c r="E200" s="5">
        <f>INDEX('Raw Data'!$A$2:$A$377,MATCH(1,INDEX(('Raw Data'!$B$2:$B$377=A200)*('Raw Data'!$E$2:$E$377=D200),0),0))</f>
        <v/>
      </c>
      <c r="F200" s="7">
        <f>_xlfn.MAXIFS('Raw Data'!$E$2:$E$377,'Raw Data'!$B$2:$B$377,A200)</f>
        <v/>
      </c>
      <c r="G200" s="5">
        <f>INDEX('Raw Data'!$A$2:$A$377,MATCH(1,INDEX(('Raw Data'!$B$2:$B$377=A200)*('Raw Data'!$E$2:$E$377=F200),0),0))</f>
        <v/>
      </c>
      <c r="H200" s="7">
        <f>F200-D200</f>
        <v/>
      </c>
      <c r="I200" s="5">
        <f>COUNTIF('Raw Data'!$B$2:$B$377,A200)</f>
        <v/>
      </c>
    </row>
    <row r="201">
      <c r="A201" s="5" t="n">
        <v>75423</v>
      </c>
      <c r="B201" s="6">
        <f>INDEX('Raw Data'!$D$2:$D$377,MATCH(A201,'Raw Data'!$B$2:$B$377,0))</f>
        <v/>
      </c>
      <c r="C201" s="5">
        <f>INDEX('Raw Data'!$C$2:$C$377,MATCH(A201,'Raw Data'!$B$2:$B$377,0))</f>
        <v/>
      </c>
      <c r="D201" s="7">
        <f>_xlfn.MINIFS('Raw Data'!$E$2:$E$377,'Raw Data'!$B$2:$B$377,A201)</f>
        <v/>
      </c>
      <c r="E201" s="5">
        <f>INDEX('Raw Data'!$A$2:$A$377,MATCH(1,INDEX(('Raw Data'!$B$2:$B$377=A201)*('Raw Data'!$E$2:$E$377=D201),0),0))</f>
        <v/>
      </c>
      <c r="F201" s="7">
        <f>_xlfn.MAXIFS('Raw Data'!$E$2:$E$377,'Raw Data'!$B$2:$B$377,A201)</f>
        <v/>
      </c>
      <c r="G201" s="5">
        <f>INDEX('Raw Data'!$A$2:$A$377,MATCH(1,INDEX(('Raw Data'!$B$2:$B$377=A201)*('Raw Data'!$E$2:$E$377=F201),0),0))</f>
        <v/>
      </c>
      <c r="H201" s="7">
        <f>F201-D201</f>
        <v/>
      </c>
      <c r="I201" s="5">
        <f>COUNTIF('Raw Data'!$B$2:$B$377,A201)</f>
        <v/>
      </c>
    </row>
    <row r="202">
      <c r="A202" s="5" t="n">
        <v>75424</v>
      </c>
      <c r="B202" s="6">
        <f>INDEX('Raw Data'!$D$2:$D$377,MATCH(A202,'Raw Data'!$B$2:$B$377,0))</f>
        <v/>
      </c>
      <c r="C202" s="5">
        <f>INDEX('Raw Data'!$C$2:$C$377,MATCH(A202,'Raw Data'!$B$2:$B$377,0))</f>
        <v/>
      </c>
      <c r="D202" s="7">
        <f>_xlfn.MINIFS('Raw Data'!$E$2:$E$377,'Raw Data'!$B$2:$B$377,A202)</f>
        <v/>
      </c>
      <c r="E202" s="5">
        <f>INDEX('Raw Data'!$A$2:$A$377,MATCH(1,INDEX(('Raw Data'!$B$2:$B$377=A202)*('Raw Data'!$E$2:$E$377=D202),0),0))</f>
        <v/>
      </c>
      <c r="F202" s="7">
        <f>_xlfn.MAXIFS('Raw Data'!$E$2:$E$377,'Raw Data'!$B$2:$B$377,A202)</f>
        <v/>
      </c>
      <c r="G202" s="5">
        <f>INDEX('Raw Data'!$A$2:$A$377,MATCH(1,INDEX(('Raw Data'!$B$2:$B$377=A202)*('Raw Data'!$E$2:$E$377=F202),0),0))</f>
        <v/>
      </c>
      <c r="H202" s="7">
        <f>F202-D202</f>
        <v/>
      </c>
      <c r="I202" s="5">
        <f>COUNTIF('Raw Data'!$B$2:$B$377,A202)</f>
        <v/>
      </c>
    </row>
    <row r="203">
      <c r="A203" s="5" t="n">
        <v>75425</v>
      </c>
      <c r="B203" s="6">
        <f>INDEX('Raw Data'!$D$2:$D$377,MATCH(A203,'Raw Data'!$B$2:$B$377,0))</f>
        <v/>
      </c>
      <c r="C203" s="5">
        <f>INDEX('Raw Data'!$C$2:$C$377,MATCH(A203,'Raw Data'!$B$2:$B$377,0))</f>
        <v/>
      </c>
      <c r="D203" s="7">
        <f>_xlfn.MINIFS('Raw Data'!$E$2:$E$377,'Raw Data'!$B$2:$B$377,A203)</f>
        <v/>
      </c>
      <c r="E203" s="5">
        <f>INDEX('Raw Data'!$A$2:$A$377,MATCH(1,INDEX(('Raw Data'!$B$2:$B$377=A203)*('Raw Data'!$E$2:$E$377=D203),0),0))</f>
        <v/>
      </c>
      <c r="F203" s="7">
        <f>_xlfn.MAXIFS('Raw Data'!$E$2:$E$377,'Raw Data'!$B$2:$B$377,A203)</f>
        <v/>
      </c>
      <c r="G203" s="5">
        <f>INDEX('Raw Data'!$A$2:$A$377,MATCH(1,INDEX(('Raw Data'!$B$2:$B$377=A203)*('Raw Data'!$E$2:$E$377=F203),0),0))</f>
        <v/>
      </c>
      <c r="H203" s="7">
        <f>F203-D203</f>
        <v/>
      </c>
      <c r="I203" s="5">
        <f>COUNTIF('Raw Data'!$B$2:$B$377,A203)</f>
        <v/>
      </c>
    </row>
    <row r="204">
      <c r="A204" s="5" t="n">
        <v>75426</v>
      </c>
      <c r="B204" s="6">
        <f>INDEX('Raw Data'!$D$2:$D$377,MATCH(A204,'Raw Data'!$B$2:$B$377,0))</f>
        <v/>
      </c>
      <c r="C204" s="5">
        <f>INDEX('Raw Data'!$C$2:$C$377,MATCH(A204,'Raw Data'!$B$2:$B$377,0))</f>
        <v/>
      </c>
      <c r="D204" s="7">
        <f>_xlfn.MINIFS('Raw Data'!$E$2:$E$377,'Raw Data'!$B$2:$B$377,A204)</f>
        <v/>
      </c>
      <c r="E204" s="5">
        <f>INDEX('Raw Data'!$A$2:$A$377,MATCH(1,INDEX(('Raw Data'!$B$2:$B$377=A204)*('Raw Data'!$E$2:$E$377=D204),0),0))</f>
        <v/>
      </c>
      <c r="F204" s="7">
        <f>_xlfn.MAXIFS('Raw Data'!$E$2:$E$377,'Raw Data'!$B$2:$B$377,A204)</f>
        <v/>
      </c>
      <c r="G204" s="5">
        <f>INDEX('Raw Data'!$A$2:$A$377,MATCH(1,INDEX(('Raw Data'!$B$2:$B$377=A204)*('Raw Data'!$E$2:$E$377=F204),0),0))</f>
        <v/>
      </c>
      <c r="H204" s="7">
        <f>F204-D204</f>
        <v/>
      </c>
      <c r="I204" s="5">
        <f>COUNTIF('Raw Data'!$B$2:$B$377,A204)</f>
        <v/>
      </c>
    </row>
    <row r="205">
      <c r="A205" s="5" t="n">
        <v>75427</v>
      </c>
      <c r="B205" s="6">
        <f>INDEX('Raw Data'!$D$2:$D$377,MATCH(A205,'Raw Data'!$B$2:$B$377,0))</f>
        <v/>
      </c>
      <c r="C205" s="5">
        <f>INDEX('Raw Data'!$C$2:$C$377,MATCH(A205,'Raw Data'!$B$2:$B$377,0))</f>
        <v/>
      </c>
      <c r="D205" s="7">
        <f>_xlfn.MINIFS('Raw Data'!$E$2:$E$377,'Raw Data'!$B$2:$B$377,A205)</f>
        <v/>
      </c>
      <c r="E205" s="5">
        <f>INDEX('Raw Data'!$A$2:$A$377,MATCH(1,INDEX(('Raw Data'!$B$2:$B$377=A205)*('Raw Data'!$E$2:$E$377=D205),0),0))</f>
        <v/>
      </c>
      <c r="F205" s="7">
        <f>_xlfn.MAXIFS('Raw Data'!$E$2:$E$377,'Raw Data'!$B$2:$B$377,A205)</f>
        <v/>
      </c>
      <c r="G205" s="5">
        <f>INDEX('Raw Data'!$A$2:$A$377,MATCH(1,INDEX(('Raw Data'!$B$2:$B$377=A205)*('Raw Data'!$E$2:$E$377=F205),0),0))</f>
        <v/>
      </c>
      <c r="H205" s="7">
        <f>F205-D205</f>
        <v/>
      </c>
      <c r="I205" s="5">
        <f>COUNTIF('Raw Data'!$B$2:$B$377,A205)</f>
        <v/>
      </c>
    </row>
    <row r="206">
      <c r="A206" s="5" t="n">
        <v>75428</v>
      </c>
      <c r="B206" s="6">
        <f>INDEX('Raw Data'!$D$2:$D$377,MATCH(A206,'Raw Data'!$B$2:$B$377,0))</f>
        <v/>
      </c>
      <c r="C206" s="5">
        <f>INDEX('Raw Data'!$C$2:$C$377,MATCH(A206,'Raw Data'!$B$2:$B$377,0))</f>
        <v/>
      </c>
      <c r="D206" s="7">
        <f>_xlfn.MINIFS('Raw Data'!$E$2:$E$377,'Raw Data'!$B$2:$B$377,A206)</f>
        <v/>
      </c>
      <c r="E206" s="5">
        <f>INDEX('Raw Data'!$A$2:$A$377,MATCH(1,INDEX(('Raw Data'!$B$2:$B$377=A206)*('Raw Data'!$E$2:$E$377=D206),0),0))</f>
        <v/>
      </c>
      <c r="F206" s="7">
        <f>_xlfn.MAXIFS('Raw Data'!$E$2:$E$377,'Raw Data'!$B$2:$B$377,A206)</f>
        <v/>
      </c>
      <c r="G206" s="5">
        <f>INDEX('Raw Data'!$A$2:$A$377,MATCH(1,INDEX(('Raw Data'!$B$2:$B$377=A206)*('Raw Data'!$E$2:$E$377=F206),0),0))</f>
        <v/>
      </c>
      <c r="H206" s="7">
        <f>F206-D206</f>
        <v/>
      </c>
      <c r="I206" s="5">
        <f>COUNTIF('Raw Data'!$B$2:$B$377,A206)</f>
        <v/>
      </c>
    </row>
    <row r="207">
      <c r="A207" s="5" t="n">
        <v>75429</v>
      </c>
      <c r="B207" s="6">
        <f>INDEX('Raw Data'!$D$2:$D$377,MATCH(A207,'Raw Data'!$B$2:$B$377,0))</f>
        <v/>
      </c>
      <c r="C207" s="5">
        <f>INDEX('Raw Data'!$C$2:$C$377,MATCH(A207,'Raw Data'!$B$2:$B$377,0))</f>
        <v/>
      </c>
      <c r="D207" s="7">
        <f>_xlfn.MINIFS('Raw Data'!$E$2:$E$377,'Raw Data'!$B$2:$B$377,A207)</f>
        <v/>
      </c>
      <c r="E207" s="5">
        <f>INDEX('Raw Data'!$A$2:$A$377,MATCH(1,INDEX(('Raw Data'!$B$2:$B$377=A207)*('Raw Data'!$E$2:$E$377=D207),0),0))</f>
        <v/>
      </c>
      <c r="F207" s="7">
        <f>_xlfn.MAXIFS('Raw Data'!$E$2:$E$377,'Raw Data'!$B$2:$B$377,A207)</f>
        <v/>
      </c>
      <c r="G207" s="5">
        <f>INDEX('Raw Data'!$A$2:$A$377,MATCH(1,INDEX(('Raw Data'!$B$2:$B$377=A207)*('Raw Data'!$E$2:$E$377=F207),0),0))</f>
        <v/>
      </c>
      <c r="H207" s="7">
        <f>F207-D207</f>
        <v/>
      </c>
      <c r="I207" s="5">
        <f>COUNTIF('Raw Data'!$B$2:$B$377,A207)</f>
        <v/>
      </c>
    </row>
    <row r="208">
      <c r="A208" s="5" t="n">
        <v>75430</v>
      </c>
      <c r="B208" s="6">
        <f>INDEX('Raw Data'!$D$2:$D$377,MATCH(A208,'Raw Data'!$B$2:$B$377,0))</f>
        <v/>
      </c>
      <c r="C208" s="5">
        <f>INDEX('Raw Data'!$C$2:$C$377,MATCH(A208,'Raw Data'!$B$2:$B$377,0))</f>
        <v/>
      </c>
      <c r="D208" s="7">
        <f>_xlfn.MINIFS('Raw Data'!$E$2:$E$377,'Raw Data'!$B$2:$B$377,A208)</f>
        <v/>
      </c>
      <c r="E208" s="5">
        <f>INDEX('Raw Data'!$A$2:$A$377,MATCH(1,INDEX(('Raw Data'!$B$2:$B$377=A208)*('Raw Data'!$E$2:$E$377=D208),0),0))</f>
        <v/>
      </c>
      <c r="F208" s="7">
        <f>_xlfn.MAXIFS('Raw Data'!$E$2:$E$377,'Raw Data'!$B$2:$B$377,A208)</f>
        <v/>
      </c>
      <c r="G208" s="5">
        <f>INDEX('Raw Data'!$A$2:$A$377,MATCH(1,INDEX(('Raw Data'!$B$2:$B$377=A208)*('Raw Data'!$E$2:$E$377=F208),0),0))</f>
        <v/>
      </c>
      <c r="H208" s="7">
        <f>F208-D208</f>
        <v/>
      </c>
      <c r="I208" s="5">
        <f>COUNTIF('Raw Data'!$B$2:$B$377,A208)</f>
        <v/>
      </c>
    </row>
    <row r="209">
      <c r="A209" s="5" t="n">
        <v>75431</v>
      </c>
      <c r="B209" s="6">
        <f>INDEX('Raw Data'!$D$2:$D$377,MATCH(A209,'Raw Data'!$B$2:$B$377,0))</f>
        <v/>
      </c>
      <c r="C209" s="5">
        <f>INDEX('Raw Data'!$C$2:$C$377,MATCH(A209,'Raw Data'!$B$2:$B$377,0))</f>
        <v/>
      </c>
      <c r="D209" s="7">
        <f>_xlfn.MINIFS('Raw Data'!$E$2:$E$377,'Raw Data'!$B$2:$B$377,A209)</f>
        <v/>
      </c>
      <c r="E209" s="5">
        <f>INDEX('Raw Data'!$A$2:$A$377,MATCH(1,INDEX(('Raw Data'!$B$2:$B$377=A209)*('Raw Data'!$E$2:$E$377=D209),0),0))</f>
        <v/>
      </c>
      <c r="F209" s="7">
        <f>_xlfn.MAXIFS('Raw Data'!$E$2:$E$377,'Raw Data'!$B$2:$B$377,A209)</f>
        <v/>
      </c>
      <c r="G209" s="5">
        <f>INDEX('Raw Data'!$A$2:$A$377,MATCH(1,INDEX(('Raw Data'!$B$2:$B$377=A209)*('Raw Data'!$E$2:$E$377=F209),0),0))</f>
        <v/>
      </c>
      <c r="H209" s="7">
        <f>F209-D209</f>
        <v/>
      </c>
      <c r="I209" s="5">
        <f>COUNTIF('Raw Data'!$B$2:$B$377,A209)</f>
        <v/>
      </c>
    </row>
    <row r="210">
      <c r="A210" s="5" t="n">
        <v>75432</v>
      </c>
      <c r="B210" s="6">
        <f>INDEX('Raw Data'!$D$2:$D$377,MATCH(A210,'Raw Data'!$B$2:$B$377,0))</f>
        <v/>
      </c>
      <c r="C210" s="5">
        <f>INDEX('Raw Data'!$C$2:$C$377,MATCH(A210,'Raw Data'!$B$2:$B$377,0))</f>
        <v/>
      </c>
      <c r="D210" s="7">
        <f>_xlfn.MINIFS('Raw Data'!$E$2:$E$377,'Raw Data'!$B$2:$B$377,A210)</f>
        <v/>
      </c>
      <c r="E210" s="5">
        <f>INDEX('Raw Data'!$A$2:$A$377,MATCH(1,INDEX(('Raw Data'!$B$2:$B$377=A210)*('Raw Data'!$E$2:$E$377=D210),0),0))</f>
        <v/>
      </c>
      <c r="F210" s="7">
        <f>_xlfn.MAXIFS('Raw Data'!$E$2:$E$377,'Raw Data'!$B$2:$B$377,A210)</f>
        <v/>
      </c>
      <c r="G210" s="5">
        <f>INDEX('Raw Data'!$A$2:$A$377,MATCH(1,INDEX(('Raw Data'!$B$2:$B$377=A210)*('Raw Data'!$E$2:$E$377=F210),0),0))</f>
        <v/>
      </c>
      <c r="H210" s="7">
        <f>F210-D210</f>
        <v/>
      </c>
      <c r="I210" s="5">
        <f>COUNTIF('Raw Data'!$B$2:$B$377,A210)</f>
        <v/>
      </c>
    </row>
    <row r="211">
      <c r="A211" s="5" t="n">
        <v>75433</v>
      </c>
      <c r="B211" s="6">
        <f>INDEX('Raw Data'!$D$2:$D$377,MATCH(A211,'Raw Data'!$B$2:$B$377,0))</f>
        <v/>
      </c>
      <c r="C211" s="5">
        <f>INDEX('Raw Data'!$C$2:$C$377,MATCH(A211,'Raw Data'!$B$2:$B$377,0))</f>
        <v/>
      </c>
      <c r="D211" s="7">
        <f>_xlfn.MINIFS('Raw Data'!$E$2:$E$377,'Raw Data'!$B$2:$B$377,A211)</f>
        <v/>
      </c>
      <c r="E211" s="5">
        <f>INDEX('Raw Data'!$A$2:$A$377,MATCH(1,INDEX(('Raw Data'!$B$2:$B$377=A211)*('Raw Data'!$E$2:$E$377=D211),0),0))</f>
        <v/>
      </c>
      <c r="F211" s="7">
        <f>_xlfn.MAXIFS('Raw Data'!$E$2:$E$377,'Raw Data'!$B$2:$B$377,A211)</f>
        <v/>
      </c>
      <c r="G211" s="5">
        <f>INDEX('Raw Data'!$A$2:$A$377,MATCH(1,INDEX(('Raw Data'!$B$2:$B$377=A211)*('Raw Data'!$E$2:$E$377=F211),0),0))</f>
        <v/>
      </c>
      <c r="H211" s="7">
        <f>F211-D211</f>
        <v/>
      </c>
      <c r="I211" s="5">
        <f>COUNTIF('Raw Data'!$B$2:$B$377,A211)</f>
        <v/>
      </c>
    </row>
    <row r="212">
      <c r="A212" s="5" t="n">
        <v>75434</v>
      </c>
      <c r="B212" s="6">
        <f>INDEX('Raw Data'!$D$2:$D$377,MATCH(A212,'Raw Data'!$B$2:$B$377,0))</f>
        <v/>
      </c>
      <c r="C212" s="5">
        <f>INDEX('Raw Data'!$C$2:$C$377,MATCH(A212,'Raw Data'!$B$2:$B$377,0))</f>
        <v/>
      </c>
      <c r="D212" s="7">
        <f>_xlfn.MINIFS('Raw Data'!$E$2:$E$377,'Raw Data'!$B$2:$B$377,A212)</f>
        <v/>
      </c>
      <c r="E212" s="5">
        <f>INDEX('Raw Data'!$A$2:$A$377,MATCH(1,INDEX(('Raw Data'!$B$2:$B$377=A212)*('Raw Data'!$E$2:$E$377=D212),0),0))</f>
        <v/>
      </c>
      <c r="F212" s="7">
        <f>_xlfn.MAXIFS('Raw Data'!$E$2:$E$377,'Raw Data'!$B$2:$B$377,A212)</f>
        <v/>
      </c>
      <c r="G212" s="5">
        <f>INDEX('Raw Data'!$A$2:$A$377,MATCH(1,INDEX(('Raw Data'!$B$2:$B$377=A212)*('Raw Data'!$E$2:$E$377=F212),0),0))</f>
        <v/>
      </c>
      <c r="H212" s="7">
        <f>F212-D212</f>
        <v/>
      </c>
      <c r="I212" s="5">
        <f>COUNTIF('Raw Data'!$B$2:$B$377,A212)</f>
        <v/>
      </c>
    </row>
    <row r="213">
      <c r="A213" s="5" t="n">
        <v>75435</v>
      </c>
      <c r="B213" s="6">
        <f>INDEX('Raw Data'!$D$2:$D$377,MATCH(A213,'Raw Data'!$B$2:$B$377,0))</f>
        <v/>
      </c>
      <c r="C213" s="5">
        <f>INDEX('Raw Data'!$C$2:$C$377,MATCH(A213,'Raw Data'!$B$2:$B$377,0))</f>
        <v/>
      </c>
      <c r="D213" s="7">
        <f>_xlfn.MINIFS('Raw Data'!$E$2:$E$377,'Raw Data'!$B$2:$B$377,A213)</f>
        <v/>
      </c>
      <c r="E213" s="5">
        <f>INDEX('Raw Data'!$A$2:$A$377,MATCH(1,INDEX(('Raw Data'!$B$2:$B$377=A213)*('Raw Data'!$E$2:$E$377=D213),0),0))</f>
        <v/>
      </c>
      <c r="F213" s="7">
        <f>_xlfn.MAXIFS('Raw Data'!$E$2:$E$377,'Raw Data'!$B$2:$B$377,A213)</f>
        <v/>
      </c>
      <c r="G213" s="5">
        <f>INDEX('Raw Data'!$A$2:$A$377,MATCH(1,INDEX(('Raw Data'!$B$2:$B$377=A213)*('Raw Data'!$E$2:$E$377=F213),0),0))</f>
        <v/>
      </c>
      <c r="H213" s="7">
        <f>F213-D213</f>
        <v/>
      </c>
      <c r="I213" s="5">
        <f>COUNTIF('Raw Data'!$B$2:$B$377,A213)</f>
        <v/>
      </c>
    </row>
    <row r="214">
      <c r="A214" s="5" t="n">
        <v>75436</v>
      </c>
      <c r="B214" s="6">
        <f>INDEX('Raw Data'!$D$2:$D$377,MATCH(A214,'Raw Data'!$B$2:$B$377,0))</f>
        <v/>
      </c>
      <c r="C214" s="5">
        <f>INDEX('Raw Data'!$C$2:$C$377,MATCH(A214,'Raw Data'!$B$2:$B$377,0))</f>
        <v/>
      </c>
      <c r="D214" s="7">
        <f>_xlfn.MINIFS('Raw Data'!$E$2:$E$377,'Raw Data'!$B$2:$B$377,A214)</f>
        <v/>
      </c>
      <c r="E214" s="5">
        <f>INDEX('Raw Data'!$A$2:$A$377,MATCH(1,INDEX(('Raw Data'!$B$2:$B$377=A214)*('Raw Data'!$E$2:$E$377=D214),0),0))</f>
        <v/>
      </c>
      <c r="F214" s="7">
        <f>_xlfn.MAXIFS('Raw Data'!$E$2:$E$377,'Raw Data'!$B$2:$B$377,A214)</f>
        <v/>
      </c>
      <c r="G214" s="5">
        <f>INDEX('Raw Data'!$A$2:$A$377,MATCH(1,INDEX(('Raw Data'!$B$2:$B$377=A214)*('Raw Data'!$E$2:$E$377=F214),0),0))</f>
        <v/>
      </c>
      <c r="H214" s="7">
        <f>F214-D214</f>
        <v/>
      </c>
      <c r="I214" s="5">
        <f>COUNTIF('Raw Data'!$B$2:$B$377,A214)</f>
        <v/>
      </c>
    </row>
    <row r="215">
      <c r="A215" s="5" t="n">
        <v>75437</v>
      </c>
      <c r="B215" s="6">
        <f>INDEX('Raw Data'!$D$2:$D$377,MATCH(A215,'Raw Data'!$B$2:$B$377,0))</f>
        <v/>
      </c>
      <c r="C215" s="5">
        <f>INDEX('Raw Data'!$C$2:$C$377,MATCH(A215,'Raw Data'!$B$2:$B$377,0))</f>
        <v/>
      </c>
      <c r="D215" s="7">
        <f>_xlfn.MINIFS('Raw Data'!$E$2:$E$377,'Raw Data'!$B$2:$B$377,A215)</f>
        <v/>
      </c>
      <c r="E215" s="5">
        <f>INDEX('Raw Data'!$A$2:$A$377,MATCH(1,INDEX(('Raw Data'!$B$2:$B$377=A215)*('Raw Data'!$E$2:$E$377=D215),0),0))</f>
        <v/>
      </c>
      <c r="F215" s="7">
        <f>_xlfn.MAXIFS('Raw Data'!$E$2:$E$377,'Raw Data'!$B$2:$B$377,A215)</f>
        <v/>
      </c>
      <c r="G215" s="5">
        <f>INDEX('Raw Data'!$A$2:$A$377,MATCH(1,INDEX(('Raw Data'!$B$2:$B$377=A215)*('Raw Data'!$E$2:$E$377=F215),0),0))</f>
        <v/>
      </c>
      <c r="H215" s="7">
        <f>F215-D215</f>
        <v/>
      </c>
      <c r="I215" s="5">
        <f>COUNTIF('Raw Data'!$B$2:$B$377,A215)</f>
        <v/>
      </c>
    </row>
    <row r="216">
      <c r="A216" s="5" t="n">
        <v>75438</v>
      </c>
      <c r="B216" s="6">
        <f>INDEX('Raw Data'!$D$2:$D$377,MATCH(A216,'Raw Data'!$B$2:$B$377,0))</f>
        <v/>
      </c>
      <c r="C216" s="5">
        <f>INDEX('Raw Data'!$C$2:$C$377,MATCH(A216,'Raw Data'!$B$2:$B$377,0))</f>
        <v/>
      </c>
      <c r="D216" s="7">
        <f>_xlfn.MINIFS('Raw Data'!$E$2:$E$377,'Raw Data'!$B$2:$B$377,A216)</f>
        <v/>
      </c>
      <c r="E216" s="5">
        <f>INDEX('Raw Data'!$A$2:$A$377,MATCH(1,INDEX(('Raw Data'!$B$2:$B$377=A216)*('Raw Data'!$E$2:$E$377=D216),0),0))</f>
        <v/>
      </c>
      <c r="F216" s="7">
        <f>_xlfn.MAXIFS('Raw Data'!$E$2:$E$377,'Raw Data'!$B$2:$B$377,A216)</f>
        <v/>
      </c>
      <c r="G216" s="5">
        <f>INDEX('Raw Data'!$A$2:$A$377,MATCH(1,INDEX(('Raw Data'!$B$2:$B$377=A216)*('Raw Data'!$E$2:$E$377=F216),0),0))</f>
        <v/>
      </c>
      <c r="H216" s="7">
        <f>F216-D216</f>
        <v/>
      </c>
      <c r="I216" s="5">
        <f>COUNTIF('Raw Data'!$B$2:$B$377,A216)</f>
        <v/>
      </c>
    </row>
    <row r="217">
      <c r="A217" s="5" t="n">
        <v>75439</v>
      </c>
      <c r="B217" s="6">
        <f>INDEX('Raw Data'!$D$2:$D$377,MATCH(A217,'Raw Data'!$B$2:$B$377,0))</f>
        <v/>
      </c>
      <c r="C217" s="5">
        <f>INDEX('Raw Data'!$C$2:$C$377,MATCH(A217,'Raw Data'!$B$2:$B$377,0))</f>
        <v/>
      </c>
      <c r="D217" s="7">
        <f>_xlfn.MINIFS('Raw Data'!$E$2:$E$377,'Raw Data'!$B$2:$B$377,A217)</f>
        <v/>
      </c>
      <c r="E217" s="5">
        <f>INDEX('Raw Data'!$A$2:$A$377,MATCH(1,INDEX(('Raw Data'!$B$2:$B$377=A217)*('Raw Data'!$E$2:$E$377=D217),0),0))</f>
        <v/>
      </c>
      <c r="F217" s="7">
        <f>_xlfn.MAXIFS('Raw Data'!$E$2:$E$377,'Raw Data'!$B$2:$B$377,A217)</f>
        <v/>
      </c>
      <c r="G217" s="5">
        <f>INDEX('Raw Data'!$A$2:$A$377,MATCH(1,INDEX(('Raw Data'!$B$2:$B$377=A217)*('Raw Data'!$E$2:$E$377=F217),0),0))</f>
        <v/>
      </c>
      <c r="H217" s="7">
        <f>F217-D217</f>
        <v/>
      </c>
      <c r="I217" s="5">
        <f>COUNTIF('Raw Data'!$B$2:$B$377,A217)</f>
        <v/>
      </c>
    </row>
    <row r="218">
      <c r="A218" s="5" t="n">
        <v>75440</v>
      </c>
      <c r="B218" s="6">
        <f>INDEX('Raw Data'!$D$2:$D$377,MATCH(A218,'Raw Data'!$B$2:$B$377,0))</f>
        <v/>
      </c>
      <c r="C218" s="5">
        <f>INDEX('Raw Data'!$C$2:$C$377,MATCH(A218,'Raw Data'!$B$2:$B$377,0))</f>
        <v/>
      </c>
      <c r="D218" s="7">
        <f>_xlfn.MINIFS('Raw Data'!$E$2:$E$377,'Raw Data'!$B$2:$B$377,A218)</f>
        <v/>
      </c>
      <c r="E218" s="5">
        <f>INDEX('Raw Data'!$A$2:$A$377,MATCH(1,INDEX(('Raw Data'!$B$2:$B$377=A218)*('Raw Data'!$E$2:$E$377=D218),0),0))</f>
        <v/>
      </c>
      <c r="F218" s="7">
        <f>_xlfn.MAXIFS('Raw Data'!$E$2:$E$377,'Raw Data'!$B$2:$B$377,A218)</f>
        <v/>
      </c>
      <c r="G218" s="5">
        <f>INDEX('Raw Data'!$A$2:$A$377,MATCH(1,INDEX(('Raw Data'!$B$2:$B$377=A218)*('Raw Data'!$E$2:$E$377=F218),0),0))</f>
        <v/>
      </c>
      <c r="H218" s="7">
        <f>F218-D218</f>
        <v/>
      </c>
      <c r="I218" s="5">
        <f>COUNTIF('Raw Data'!$B$2:$B$377,A218)</f>
        <v/>
      </c>
    </row>
    <row r="219">
      <c r="A219" s="5" t="n">
        <v>75441</v>
      </c>
      <c r="B219" s="6">
        <f>INDEX('Raw Data'!$D$2:$D$377,MATCH(A219,'Raw Data'!$B$2:$B$377,0))</f>
        <v/>
      </c>
      <c r="C219" s="5">
        <f>INDEX('Raw Data'!$C$2:$C$377,MATCH(A219,'Raw Data'!$B$2:$B$377,0))</f>
        <v/>
      </c>
      <c r="D219" s="7">
        <f>_xlfn.MINIFS('Raw Data'!$E$2:$E$377,'Raw Data'!$B$2:$B$377,A219)</f>
        <v/>
      </c>
      <c r="E219" s="5">
        <f>INDEX('Raw Data'!$A$2:$A$377,MATCH(1,INDEX(('Raw Data'!$B$2:$B$377=A219)*('Raw Data'!$E$2:$E$377=D219),0),0))</f>
        <v/>
      </c>
      <c r="F219" s="7">
        <f>_xlfn.MAXIFS('Raw Data'!$E$2:$E$377,'Raw Data'!$B$2:$B$377,A219)</f>
        <v/>
      </c>
      <c r="G219" s="5">
        <f>INDEX('Raw Data'!$A$2:$A$377,MATCH(1,INDEX(('Raw Data'!$B$2:$B$377=A219)*('Raw Data'!$E$2:$E$377=F219),0),0))</f>
        <v/>
      </c>
      <c r="H219" s="7">
        <f>F219-D219</f>
        <v/>
      </c>
      <c r="I219" s="5">
        <f>COUNTIF('Raw Data'!$B$2:$B$377,A219)</f>
        <v/>
      </c>
    </row>
    <row r="220">
      <c r="A220" s="5" t="n">
        <v>75442</v>
      </c>
      <c r="B220" s="6">
        <f>INDEX('Raw Data'!$D$2:$D$377,MATCH(A220,'Raw Data'!$B$2:$B$377,0))</f>
        <v/>
      </c>
      <c r="C220" s="5">
        <f>INDEX('Raw Data'!$C$2:$C$377,MATCH(A220,'Raw Data'!$B$2:$B$377,0))</f>
        <v/>
      </c>
      <c r="D220" s="7">
        <f>_xlfn.MINIFS('Raw Data'!$E$2:$E$377,'Raw Data'!$B$2:$B$377,A220)</f>
        <v/>
      </c>
      <c r="E220" s="5">
        <f>INDEX('Raw Data'!$A$2:$A$377,MATCH(1,INDEX(('Raw Data'!$B$2:$B$377=A220)*('Raw Data'!$E$2:$E$377=D220),0),0))</f>
        <v/>
      </c>
      <c r="F220" s="7">
        <f>_xlfn.MAXIFS('Raw Data'!$E$2:$E$377,'Raw Data'!$B$2:$B$377,A220)</f>
        <v/>
      </c>
      <c r="G220" s="5">
        <f>INDEX('Raw Data'!$A$2:$A$377,MATCH(1,INDEX(('Raw Data'!$B$2:$B$377=A220)*('Raw Data'!$E$2:$E$377=F220),0),0))</f>
        <v/>
      </c>
      <c r="H220" s="7">
        <f>F220-D220</f>
        <v/>
      </c>
      <c r="I220" s="5">
        <f>COUNTIF('Raw Data'!$B$2:$B$377,A220)</f>
        <v/>
      </c>
    </row>
    <row r="221">
      <c r="A221" s="5" t="n">
        <v>75443</v>
      </c>
      <c r="B221" s="6">
        <f>INDEX('Raw Data'!$D$2:$D$377,MATCH(A221,'Raw Data'!$B$2:$B$377,0))</f>
        <v/>
      </c>
      <c r="C221" s="5">
        <f>INDEX('Raw Data'!$C$2:$C$377,MATCH(A221,'Raw Data'!$B$2:$B$377,0))</f>
        <v/>
      </c>
      <c r="D221" s="7">
        <f>_xlfn.MINIFS('Raw Data'!$E$2:$E$377,'Raw Data'!$B$2:$B$377,A221)</f>
        <v/>
      </c>
      <c r="E221" s="5">
        <f>INDEX('Raw Data'!$A$2:$A$377,MATCH(1,INDEX(('Raw Data'!$B$2:$B$377=A221)*('Raw Data'!$E$2:$E$377=D221),0),0))</f>
        <v/>
      </c>
      <c r="F221" s="7">
        <f>_xlfn.MAXIFS('Raw Data'!$E$2:$E$377,'Raw Data'!$B$2:$B$377,A221)</f>
        <v/>
      </c>
      <c r="G221" s="5">
        <f>INDEX('Raw Data'!$A$2:$A$377,MATCH(1,INDEX(('Raw Data'!$B$2:$B$377=A221)*('Raw Data'!$E$2:$E$377=F221),0),0))</f>
        <v/>
      </c>
      <c r="H221" s="7">
        <f>F221-D221</f>
        <v/>
      </c>
      <c r="I221" s="5">
        <f>COUNTIF('Raw Data'!$B$2:$B$377,A221)</f>
        <v/>
      </c>
    </row>
    <row r="222">
      <c r="A222" s="5" t="n">
        <v>75444</v>
      </c>
      <c r="B222" s="6">
        <f>INDEX('Raw Data'!$D$2:$D$377,MATCH(A222,'Raw Data'!$B$2:$B$377,0))</f>
        <v/>
      </c>
      <c r="C222" s="5">
        <f>INDEX('Raw Data'!$C$2:$C$377,MATCH(A222,'Raw Data'!$B$2:$B$377,0))</f>
        <v/>
      </c>
      <c r="D222" s="7">
        <f>_xlfn.MINIFS('Raw Data'!$E$2:$E$377,'Raw Data'!$B$2:$B$377,A222)</f>
        <v/>
      </c>
      <c r="E222" s="5">
        <f>INDEX('Raw Data'!$A$2:$A$377,MATCH(1,INDEX(('Raw Data'!$B$2:$B$377=A222)*('Raw Data'!$E$2:$E$377=D222),0),0))</f>
        <v/>
      </c>
      <c r="F222" s="7">
        <f>_xlfn.MAXIFS('Raw Data'!$E$2:$E$377,'Raw Data'!$B$2:$B$377,A222)</f>
        <v/>
      </c>
      <c r="G222" s="5">
        <f>INDEX('Raw Data'!$A$2:$A$377,MATCH(1,INDEX(('Raw Data'!$B$2:$B$377=A222)*('Raw Data'!$E$2:$E$377=F222),0),0))</f>
        <v/>
      </c>
      <c r="H222" s="7">
        <f>F222-D222</f>
        <v/>
      </c>
      <c r="I222" s="5">
        <f>COUNTIF('Raw Data'!$B$2:$B$377,A222)</f>
        <v/>
      </c>
    </row>
    <row r="223">
      <c r="A223" s="5" t="n">
        <v>75445</v>
      </c>
      <c r="B223" s="6">
        <f>INDEX('Raw Data'!$D$2:$D$377,MATCH(A223,'Raw Data'!$B$2:$B$377,0))</f>
        <v/>
      </c>
      <c r="C223" s="5">
        <f>INDEX('Raw Data'!$C$2:$C$377,MATCH(A223,'Raw Data'!$B$2:$B$377,0))</f>
        <v/>
      </c>
      <c r="D223" s="7">
        <f>_xlfn.MINIFS('Raw Data'!$E$2:$E$377,'Raw Data'!$B$2:$B$377,A223)</f>
        <v/>
      </c>
      <c r="E223" s="5">
        <f>INDEX('Raw Data'!$A$2:$A$377,MATCH(1,INDEX(('Raw Data'!$B$2:$B$377=A223)*('Raw Data'!$E$2:$E$377=D223),0),0))</f>
        <v/>
      </c>
      <c r="F223" s="7">
        <f>_xlfn.MAXIFS('Raw Data'!$E$2:$E$377,'Raw Data'!$B$2:$B$377,A223)</f>
        <v/>
      </c>
      <c r="G223" s="5">
        <f>INDEX('Raw Data'!$A$2:$A$377,MATCH(1,INDEX(('Raw Data'!$B$2:$B$377=A223)*('Raw Data'!$E$2:$E$377=F223),0),0))</f>
        <v/>
      </c>
      <c r="H223" s="7">
        <f>F223-D223</f>
        <v/>
      </c>
      <c r="I223" s="5">
        <f>COUNTIF('Raw Data'!$B$2:$B$377,A223)</f>
        <v/>
      </c>
    </row>
    <row r="224">
      <c r="A224" s="5" t="n">
        <v>75446</v>
      </c>
      <c r="B224" s="6">
        <f>INDEX('Raw Data'!$D$2:$D$377,MATCH(A224,'Raw Data'!$B$2:$B$377,0))</f>
        <v/>
      </c>
      <c r="C224" s="5">
        <f>INDEX('Raw Data'!$C$2:$C$377,MATCH(A224,'Raw Data'!$B$2:$B$377,0))</f>
        <v/>
      </c>
      <c r="D224" s="7">
        <f>_xlfn.MINIFS('Raw Data'!$E$2:$E$377,'Raw Data'!$B$2:$B$377,A224)</f>
        <v/>
      </c>
      <c r="E224" s="5">
        <f>INDEX('Raw Data'!$A$2:$A$377,MATCH(1,INDEX(('Raw Data'!$B$2:$B$377=A224)*('Raw Data'!$E$2:$E$377=D224),0),0))</f>
        <v/>
      </c>
      <c r="F224" s="7">
        <f>_xlfn.MAXIFS('Raw Data'!$E$2:$E$377,'Raw Data'!$B$2:$B$377,A224)</f>
        <v/>
      </c>
      <c r="G224" s="5">
        <f>INDEX('Raw Data'!$A$2:$A$377,MATCH(1,INDEX(('Raw Data'!$B$2:$B$377=A224)*('Raw Data'!$E$2:$E$377=F224),0),0))</f>
        <v/>
      </c>
      <c r="H224" s="7">
        <f>F224-D224</f>
        <v/>
      </c>
      <c r="I224" s="5">
        <f>COUNTIF('Raw Data'!$B$2:$B$377,A224)</f>
        <v/>
      </c>
    </row>
    <row r="225">
      <c r="A225" s="5" t="n">
        <v>75447</v>
      </c>
      <c r="B225" s="6">
        <f>INDEX('Raw Data'!$D$2:$D$377,MATCH(A225,'Raw Data'!$B$2:$B$377,0))</f>
        <v/>
      </c>
      <c r="C225" s="5">
        <f>INDEX('Raw Data'!$C$2:$C$377,MATCH(A225,'Raw Data'!$B$2:$B$377,0))</f>
        <v/>
      </c>
      <c r="D225" s="7">
        <f>_xlfn.MINIFS('Raw Data'!$E$2:$E$377,'Raw Data'!$B$2:$B$377,A225)</f>
        <v/>
      </c>
      <c r="E225" s="5">
        <f>INDEX('Raw Data'!$A$2:$A$377,MATCH(1,INDEX(('Raw Data'!$B$2:$B$377=A225)*('Raw Data'!$E$2:$E$377=D225),0),0))</f>
        <v/>
      </c>
      <c r="F225" s="7">
        <f>_xlfn.MAXIFS('Raw Data'!$E$2:$E$377,'Raw Data'!$B$2:$B$377,A225)</f>
        <v/>
      </c>
      <c r="G225" s="5">
        <f>INDEX('Raw Data'!$A$2:$A$377,MATCH(1,INDEX(('Raw Data'!$B$2:$B$377=A225)*('Raw Data'!$E$2:$E$377=F225),0),0))</f>
        <v/>
      </c>
      <c r="H225" s="7">
        <f>F225-D225</f>
        <v/>
      </c>
      <c r="I225" s="5">
        <f>COUNTIF('Raw Data'!$B$2:$B$377,A225)</f>
        <v/>
      </c>
    </row>
    <row r="226">
      <c r="A226" s="5" t="n">
        <v>75448</v>
      </c>
      <c r="B226" s="6">
        <f>INDEX('Raw Data'!$D$2:$D$377,MATCH(A226,'Raw Data'!$B$2:$B$377,0))</f>
        <v/>
      </c>
      <c r="C226" s="5">
        <f>INDEX('Raw Data'!$C$2:$C$377,MATCH(A226,'Raw Data'!$B$2:$B$377,0))</f>
        <v/>
      </c>
      <c r="D226" s="7">
        <f>_xlfn.MINIFS('Raw Data'!$E$2:$E$377,'Raw Data'!$B$2:$B$377,A226)</f>
        <v/>
      </c>
      <c r="E226" s="5">
        <f>INDEX('Raw Data'!$A$2:$A$377,MATCH(1,INDEX(('Raw Data'!$B$2:$B$377=A226)*('Raw Data'!$E$2:$E$377=D226),0),0))</f>
        <v/>
      </c>
      <c r="F226" s="7">
        <f>_xlfn.MAXIFS('Raw Data'!$E$2:$E$377,'Raw Data'!$B$2:$B$377,A226)</f>
        <v/>
      </c>
      <c r="G226" s="5">
        <f>INDEX('Raw Data'!$A$2:$A$377,MATCH(1,INDEX(('Raw Data'!$B$2:$B$377=A226)*('Raw Data'!$E$2:$E$377=F226),0),0))</f>
        <v/>
      </c>
      <c r="H226" s="7">
        <f>F226-D226</f>
        <v/>
      </c>
      <c r="I226" s="5">
        <f>COUNTIF('Raw Data'!$B$2:$B$377,A226)</f>
        <v/>
      </c>
    </row>
    <row r="227">
      <c r="A227" s="5" t="n">
        <v>75449</v>
      </c>
      <c r="B227" s="6">
        <f>INDEX('Raw Data'!$D$2:$D$377,MATCH(A227,'Raw Data'!$B$2:$B$377,0))</f>
        <v/>
      </c>
      <c r="C227" s="5">
        <f>INDEX('Raw Data'!$C$2:$C$377,MATCH(A227,'Raw Data'!$B$2:$B$377,0))</f>
        <v/>
      </c>
      <c r="D227" s="7">
        <f>_xlfn.MINIFS('Raw Data'!$E$2:$E$377,'Raw Data'!$B$2:$B$377,A227)</f>
        <v/>
      </c>
      <c r="E227" s="5">
        <f>INDEX('Raw Data'!$A$2:$A$377,MATCH(1,INDEX(('Raw Data'!$B$2:$B$377=A227)*('Raw Data'!$E$2:$E$377=D227),0),0))</f>
        <v/>
      </c>
      <c r="F227" s="7">
        <f>_xlfn.MAXIFS('Raw Data'!$E$2:$E$377,'Raw Data'!$B$2:$B$377,A227)</f>
        <v/>
      </c>
      <c r="G227" s="5">
        <f>INDEX('Raw Data'!$A$2:$A$377,MATCH(1,INDEX(('Raw Data'!$B$2:$B$377=A227)*('Raw Data'!$E$2:$E$377=F227),0),0))</f>
        <v/>
      </c>
      <c r="H227" s="7">
        <f>F227-D227</f>
        <v/>
      </c>
      <c r="I227" s="5">
        <f>COUNTIF('Raw Data'!$B$2:$B$377,A227)</f>
        <v/>
      </c>
    </row>
    <row r="228">
      <c r="A228" s="5" t="n">
        <v>75451</v>
      </c>
      <c r="B228" s="6">
        <f>INDEX('Raw Data'!$D$2:$D$377,MATCH(A228,'Raw Data'!$B$2:$B$377,0))</f>
        <v/>
      </c>
      <c r="C228" s="5">
        <f>INDEX('Raw Data'!$C$2:$C$377,MATCH(A228,'Raw Data'!$B$2:$B$377,0))</f>
        <v/>
      </c>
      <c r="D228" s="7">
        <f>_xlfn.MINIFS('Raw Data'!$E$2:$E$377,'Raw Data'!$B$2:$B$377,A228)</f>
        <v/>
      </c>
      <c r="E228" s="5">
        <f>INDEX('Raw Data'!$A$2:$A$377,MATCH(1,INDEX(('Raw Data'!$B$2:$B$377=A228)*('Raw Data'!$E$2:$E$377=D228),0),0))</f>
        <v/>
      </c>
      <c r="F228" s="7">
        <f>_xlfn.MAXIFS('Raw Data'!$E$2:$E$377,'Raw Data'!$B$2:$B$377,A228)</f>
        <v/>
      </c>
      <c r="G228" s="5">
        <f>INDEX('Raw Data'!$A$2:$A$377,MATCH(1,INDEX(('Raw Data'!$B$2:$B$377=A228)*('Raw Data'!$E$2:$E$377=F228),0),0))</f>
        <v/>
      </c>
      <c r="H228" s="7">
        <f>F228-D228</f>
        <v/>
      </c>
      <c r="I228" s="5">
        <f>COUNTIF('Raw Data'!$B$2:$B$377,A228)</f>
        <v/>
      </c>
    </row>
    <row r="229">
      <c r="A229" s="5" t="n">
        <v>75452</v>
      </c>
      <c r="B229" s="6">
        <f>INDEX('Raw Data'!$D$2:$D$377,MATCH(A229,'Raw Data'!$B$2:$B$377,0))</f>
        <v/>
      </c>
      <c r="C229" s="5">
        <f>INDEX('Raw Data'!$C$2:$C$377,MATCH(A229,'Raw Data'!$B$2:$B$377,0))</f>
        <v/>
      </c>
      <c r="D229" s="7">
        <f>_xlfn.MINIFS('Raw Data'!$E$2:$E$377,'Raw Data'!$B$2:$B$377,A229)</f>
        <v/>
      </c>
      <c r="E229" s="5">
        <f>INDEX('Raw Data'!$A$2:$A$377,MATCH(1,INDEX(('Raw Data'!$B$2:$B$377=A229)*('Raw Data'!$E$2:$E$377=D229),0),0))</f>
        <v/>
      </c>
      <c r="F229" s="7">
        <f>_xlfn.MAXIFS('Raw Data'!$E$2:$E$377,'Raw Data'!$B$2:$B$377,A229)</f>
        <v/>
      </c>
      <c r="G229" s="5">
        <f>INDEX('Raw Data'!$A$2:$A$377,MATCH(1,INDEX(('Raw Data'!$B$2:$B$377=A229)*('Raw Data'!$E$2:$E$377=F229),0),0))</f>
        <v/>
      </c>
      <c r="H229" s="7">
        <f>F229-D229</f>
        <v/>
      </c>
      <c r="I229" s="5">
        <f>COUNTIF('Raw Data'!$B$2:$B$377,A229)</f>
        <v/>
      </c>
    </row>
    <row r="230">
      <c r="A230" s="5" t="n">
        <v>75453</v>
      </c>
      <c r="B230" s="6">
        <f>INDEX('Raw Data'!$D$2:$D$377,MATCH(A230,'Raw Data'!$B$2:$B$377,0))</f>
        <v/>
      </c>
      <c r="C230" s="5">
        <f>INDEX('Raw Data'!$C$2:$C$377,MATCH(A230,'Raw Data'!$B$2:$B$377,0))</f>
        <v/>
      </c>
      <c r="D230" s="7">
        <f>_xlfn.MINIFS('Raw Data'!$E$2:$E$377,'Raw Data'!$B$2:$B$377,A230)</f>
        <v/>
      </c>
      <c r="E230" s="5">
        <f>INDEX('Raw Data'!$A$2:$A$377,MATCH(1,INDEX(('Raw Data'!$B$2:$B$377=A230)*('Raw Data'!$E$2:$E$377=D230),0),0))</f>
        <v/>
      </c>
      <c r="F230" s="7">
        <f>_xlfn.MAXIFS('Raw Data'!$E$2:$E$377,'Raw Data'!$B$2:$B$377,A230)</f>
        <v/>
      </c>
      <c r="G230" s="5">
        <f>INDEX('Raw Data'!$A$2:$A$377,MATCH(1,INDEX(('Raw Data'!$B$2:$B$377=A230)*('Raw Data'!$E$2:$E$377=F230),0),0))</f>
        <v/>
      </c>
      <c r="H230" s="7">
        <f>F230-D230</f>
        <v/>
      </c>
      <c r="I230" s="5">
        <f>COUNTIF('Raw Data'!$B$2:$B$377,A230)</f>
        <v/>
      </c>
    </row>
    <row r="231">
      <c r="A231" s="5" t="n">
        <v>75454</v>
      </c>
      <c r="B231" s="6">
        <f>INDEX('Raw Data'!$D$2:$D$377,MATCH(A231,'Raw Data'!$B$2:$B$377,0))</f>
        <v/>
      </c>
      <c r="C231" s="5">
        <f>INDEX('Raw Data'!$C$2:$C$377,MATCH(A231,'Raw Data'!$B$2:$B$377,0))</f>
        <v/>
      </c>
      <c r="D231" s="7">
        <f>_xlfn.MINIFS('Raw Data'!$E$2:$E$377,'Raw Data'!$B$2:$B$377,A231)</f>
        <v/>
      </c>
      <c r="E231" s="5">
        <f>INDEX('Raw Data'!$A$2:$A$377,MATCH(1,INDEX(('Raw Data'!$B$2:$B$377=A231)*('Raw Data'!$E$2:$E$377=D231),0),0))</f>
        <v/>
      </c>
      <c r="F231" s="7">
        <f>_xlfn.MAXIFS('Raw Data'!$E$2:$E$377,'Raw Data'!$B$2:$B$377,A231)</f>
        <v/>
      </c>
      <c r="G231" s="5">
        <f>INDEX('Raw Data'!$A$2:$A$377,MATCH(1,INDEX(('Raw Data'!$B$2:$B$377=A231)*('Raw Data'!$E$2:$E$377=F231),0),0))</f>
        <v/>
      </c>
      <c r="H231" s="7">
        <f>F231-D231</f>
        <v/>
      </c>
      <c r="I231" s="5">
        <f>COUNTIF('Raw Data'!$B$2:$B$377,A231)</f>
        <v/>
      </c>
    </row>
    <row r="232">
      <c r="A232" s="5" t="n">
        <v>75455</v>
      </c>
      <c r="B232" s="6">
        <f>INDEX('Raw Data'!$D$2:$D$377,MATCH(A232,'Raw Data'!$B$2:$B$377,0))</f>
        <v/>
      </c>
      <c r="C232" s="5">
        <f>INDEX('Raw Data'!$C$2:$C$377,MATCH(A232,'Raw Data'!$B$2:$B$377,0))</f>
        <v/>
      </c>
      <c r="D232" s="7">
        <f>_xlfn.MINIFS('Raw Data'!$E$2:$E$377,'Raw Data'!$B$2:$B$377,A232)</f>
        <v/>
      </c>
      <c r="E232" s="5">
        <f>INDEX('Raw Data'!$A$2:$A$377,MATCH(1,INDEX(('Raw Data'!$B$2:$B$377=A232)*('Raw Data'!$E$2:$E$377=D232),0),0))</f>
        <v/>
      </c>
      <c r="F232" s="7">
        <f>_xlfn.MAXIFS('Raw Data'!$E$2:$E$377,'Raw Data'!$B$2:$B$377,A232)</f>
        <v/>
      </c>
      <c r="G232" s="5">
        <f>INDEX('Raw Data'!$A$2:$A$377,MATCH(1,INDEX(('Raw Data'!$B$2:$B$377=A232)*('Raw Data'!$E$2:$E$377=F232),0),0))</f>
        <v/>
      </c>
      <c r="H232" s="7">
        <f>F232-D232</f>
        <v/>
      </c>
      <c r="I232" s="5">
        <f>COUNTIF('Raw Data'!$B$2:$B$377,A232)</f>
        <v/>
      </c>
    </row>
    <row r="233">
      <c r="A233" s="5" t="n">
        <v>75456</v>
      </c>
      <c r="B233" s="6">
        <f>INDEX('Raw Data'!$D$2:$D$377,MATCH(A233,'Raw Data'!$B$2:$B$377,0))</f>
        <v/>
      </c>
      <c r="C233" s="5">
        <f>INDEX('Raw Data'!$C$2:$C$377,MATCH(A233,'Raw Data'!$B$2:$B$377,0))</f>
        <v/>
      </c>
      <c r="D233" s="7">
        <f>_xlfn.MINIFS('Raw Data'!$E$2:$E$377,'Raw Data'!$B$2:$B$377,A233)</f>
        <v/>
      </c>
      <c r="E233" s="5">
        <f>INDEX('Raw Data'!$A$2:$A$377,MATCH(1,INDEX(('Raw Data'!$B$2:$B$377=A233)*('Raw Data'!$E$2:$E$377=D233),0),0))</f>
        <v/>
      </c>
      <c r="F233" s="7">
        <f>_xlfn.MAXIFS('Raw Data'!$E$2:$E$377,'Raw Data'!$B$2:$B$377,A233)</f>
        <v/>
      </c>
      <c r="G233" s="5">
        <f>INDEX('Raw Data'!$A$2:$A$377,MATCH(1,INDEX(('Raw Data'!$B$2:$B$377=A233)*('Raw Data'!$E$2:$E$377=F233),0),0))</f>
        <v/>
      </c>
      <c r="H233" s="7">
        <f>F233-D233</f>
        <v/>
      </c>
      <c r="I233" s="5">
        <f>COUNTIF('Raw Data'!$B$2:$B$377,A233)</f>
        <v/>
      </c>
    </row>
    <row r="234">
      <c r="A234" s="5" t="n">
        <v>75458</v>
      </c>
      <c r="B234" s="6">
        <f>INDEX('Raw Data'!$D$2:$D$377,MATCH(A234,'Raw Data'!$B$2:$B$377,0))</f>
        <v/>
      </c>
      <c r="C234" s="5">
        <f>INDEX('Raw Data'!$C$2:$C$377,MATCH(A234,'Raw Data'!$B$2:$B$377,0))</f>
        <v/>
      </c>
      <c r="D234" s="7">
        <f>_xlfn.MINIFS('Raw Data'!$E$2:$E$377,'Raw Data'!$B$2:$B$377,A234)</f>
        <v/>
      </c>
      <c r="E234" s="5">
        <f>INDEX('Raw Data'!$A$2:$A$377,MATCH(1,INDEX(('Raw Data'!$B$2:$B$377=A234)*('Raw Data'!$E$2:$E$377=D234),0),0))</f>
        <v/>
      </c>
      <c r="F234" s="7">
        <f>_xlfn.MAXIFS('Raw Data'!$E$2:$E$377,'Raw Data'!$B$2:$B$377,A234)</f>
        <v/>
      </c>
      <c r="G234" s="5">
        <f>INDEX('Raw Data'!$A$2:$A$377,MATCH(1,INDEX(('Raw Data'!$B$2:$B$377=A234)*('Raw Data'!$E$2:$E$377=F234),0),0))</f>
        <v/>
      </c>
      <c r="H234" s="7">
        <f>F234-D234</f>
        <v/>
      </c>
      <c r="I234" s="5">
        <f>COUNTIF('Raw Data'!$B$2:$B$377,A234)</f>
        <v/>
      </c>
    </row>
    <row r="235">
      <c r="A235" s="5" t="n">
        <v>75459</v>
      </c>
      <c r="B235" s="6">
        <f>INDEX('Raw Data'!$D$2:$D$377,MATCH(A235,'Raw Data'!$B$2:$B$377,0))</f>
        <v/>
      </c>
      <c r="C235" s="5">
        <f>INDEX('Raw Data'!$C$2:$C$377,MATCH(A235,'Raw Data'!$B$2:$B$377,0))</f>
        <v/>
      </c>
      <c r="D235" s="7">
        <f>_xlfn.MINIFS('Raw Data'!$E$2:$E$377,'Raw Data'!$B$2:$B$377,A235)</f>
        <v/>
      </c>
      <c r="E235" s="5">
        <f>INDEX('Raw Data'!$A$2:$A$377,MATCH(1,INDEX(('Raw Data'!$B$2:$B$377=A235)*('Raw Data'!$E$2:$E$377=D235),0),0))</f>
        <v/>
      </c>
      <c r="F235" s="7">
        <f>_xlfn.MAXIFS('Raw Data'!$E$2:$E$377,'Raw Data'!$B$2:$B$377,A235)</f>
        <v/>
      </c>
      <c r="G235" s="5">
        <f>INDEX('Raw Data'!$A$2:$A$377,MATCH(1,INDEX(('Raw Data'!$B$2:$B$377=A235)*('Raw Data'!$E$2:$E$377=F235),0),0))</f>
        <v/>
      </c>
      <c r="H235" s="7">
        <f>F235-D235</f>
        <v/>
      </c>
      <c r="I235" s="5">
        <f>COUNTIF('Raw Data'!$B$2:$B$377,A235)</f>
        <v/>
      </c>
    </row>
    <row r="236">
      <c r="A236" s="5" t="n">
        <v>75460</v>
      </c>
      <c r="B236" s="6">
        <f>INDEX('Raw Data'!$D$2:$D$377,MATCH(A236,'Raw Data'!$B$2:$B$377,0))</f>
        <v/>
      </c>
      <c r="C236" s="5">
        <f>INDEX('Raw Data'!$C$2:$C$377,MATCH(A236,'Raw Data'!$B$2:$B$377,0))</f>
        <v/>
      </c>
      <c r="D236" s="7">
        <f>_xlfn.MINIFS('Raw Data'!$E$2:$E$377,'Raw Data'!$B$2:$B$377,A236)</f>
        <v/>
      </c>
      <c r="E236" s="5">
        <f>INDEX('Raw Data'!$A$2:$A$377,MATCH(1,INDEX(('Raw Data'!$B$2:$B$377=A236)*('Raw Data'!$E$2:$E$377=D236),0),0))</f>
        <v/>
      </c>
      <c r="F236" s="7">
        <f>_xlfn.MAXIFS('Raw Data'!$E$2:$E$377,'Raw Data'!$B$2:$B$377,A236)</f>
        <v/>
      </c>
      <c r="G236" s="5">
        <f>INDEX('Raw Data'!$A$2:$A$377,MATCH(1,INDEX(('Raw Data'!$B$2:$B$377=A236)*('Raw Data'!$E$2:$E$377=F236),0),0))</f>
        <v/>
      </c>
      <c r="H236" s="7">
        <f>F236-D236</f>
        <v/>
      </c>
      <c r="I236" s="5">
        <f>COUNTIF('Raw Data'!$B$2:$B$377,A236)</f>
        <v/>
      </c>
    </row>
    <row r="237">
      <c r="A237" s="5" t="n">
        <v>75461</v>
      </c>
      <c r="B237" s="6">
        <f>INDEX('Raw Data'!$D$2:$D$377,MATCH(A237,'Raw Data'!$B$2:$B$377,0))</f>
        <v/>
      </c>
      <c r="C237" s="5">
        <f>INDEX('Raw Data'!$C$2:$C$377,MATCH(A237,'Raw Data'!$B$2:$B$377,0))</f>
        <v/>
      </c>
      <c r="D237" s="7">
        <f>_xlfn.MINIFS('Raw Data'!$E$2:$E$377,'Raw Data'!$B$2:$B$377,A237)</f>
        <v/>
      </c>
      <c r="E237" s="5">
        <f>INDEX('Raw Data'!$A$2:$A$377,MATCH(1,INDEX(('Raw Data'!$B$2:$B$377=A237)*('Raw Data'!$E$2:$E$377=D237),0),0))</f>
        <v/>
      </c>
      <c r="F237" s="7">
        <f>_xlfn.MAXIFS('Raw Data'!$E$2:$E$377,'Raw Data'!$B$2:$B$377,A237)</f>
        <v/>
      </c>
      <c r="G237" s="5">
        <f>INDEX('Raw Data'!$A$2:$A$377,MATCH(1,INDEX(('Raw Data'!$B$2:$B$377=A237)*('Raw Data'!$E$2:$E$377=F237),0),0))</f>
        <v/>
      </c>
      <c r="H237" s="7">
        <f>F237-D237</f>
        <v/>
      </c>
      <c r="I237" s="5">
        <f>COUNTIF('Raw Data'!$B$2:$B$377,A237)</f>
        <v/>
      </c>
    </row>
    <row r="238">
      <c r="A238" s="5" t="n">
        <v>75524</v>
      </c>
      <c r="B238" s="6">
        <f>INDEX('Raw Data'!$D$2:$D$377,MATCH(A238,'Raw Data'!$B$2:$B$377,0))</f>
        <v/>
      </c>
      <c r="C238" s="5">
        <f>INDEX('Raw Data'!$C$2:$C$377,MATCH(A238,'Raw Data'!$B$2:$B$377,0))</f>
        <v/>
      </c>
      <c r="D238" s="7">
        <f>_xlfn.MINIFS('Raw Data'!$E$2:$E$377,'Raw Data'!$B$2:$B$377,A238)</f>
        <v/>
      </c>
      <c r="E238" s="5">
        <f>INDEX('Raw Data'!$A$2:$A$377,MATCH(1,INDEX(('Raw Data'!$B$2:$B$377=A238)*('Raw Data'!$E$2:$E$377=D238),0),0))</f>
        <v/>
      </c>
      <c r="F238" s="7">
        <f>_xlfn.MAXIFS('Raw Data'!$E$2:$E$377,'Raw Data'!$B$2:$B$377,A238)</f>
        <v/>
      </c>
      <c r="G238" s="5">
        <f>INDEX('Raw Data'!$A$2:$A$377,MATCH(1,INDEX(('Raw Data'!$B$2:$B$377=A238)*('Raw Data'!$E$2:$E$377=F238),0),0))</f>
        <v/>
      </c>
      <c r="H238" s="7">
        <f>F238-D238</f>
        <v/>
      </c>
      <c r="I238" s="5">
        <f>COUNTIF('Raw Data'!$B$2:$B$377,A238)</f>
        <v/>
      </c>
    </row>
    <row r="239">
      <c r="A239" s="5" t="n">
        <v>75525</v>
      </c>
      <c r="B239" s="6">
        <f>INDEX('Raw Data'!$D$2:$D$377,MATCH(A239,'Raw Data'!$B$2:$B$377,0))</f>
        <v/>
      </c>
      <c r="C239" s="5">
        <f>INDEX('Raw Data'!$C$2:$C$377,MATCH(A239,'Raw Data'!$B$2:$B$377,0))</f>
        <v/>
      </c>
      <c r="D239" s="7">
        <f>_xlfn.MINIFS('Raw Data'!$E$2:$E$377,'Raw Data'!$B$2:$B$377,A239)</f>
        <v/>
      </c>
      <c r="E239" s="5">
        <f>INDEX('Raw Data'!$A$2:$A$377,MATCH(1,INDEX(('Raw Data'!$B$2:$B$377=A239)*('Raw Data'!$E$2:$E$377=D239),0),0))</f>
        <v/>
      </c>
      <c r="F239" s="7">
        <f>_xlfn.MAXIFS('Raw Data'!$E$2:$E$377,'Raw Data'!$B$2:$B$377,A239)</f>
        <v/>
      </c>
      <c r="G239" s="5">
        <f>INDEX('Raw Data'!$A$2:$A$377,MATCH(1,INDEX(('Raw Data'!$B$2:$B$377=A239)*('Raw Data'!$E$2:$E$377=F239),0),0))</f>
        <v/>
      </c>
      <c r="H239" s="7">
        <f>F239-D239</f>
        <v/>
      </c>
      <c r="I239" s="5">
        <f>COUNTIF('Raw Data'!$B$2:$B$377,A239)</f>
        <v/>
      </c>
    </row>
    <row r="240">
      <c r="A240" s="5" t="n">
        <v>75528</v>
      </c>
      <c r="B240" s="6">
        <f>INDEX('Raw Data'!$D$2:$D$377,MATCH(A240,'Raw Data'!$B$2:$B$377,0))</f>
        <v/>
      </c>
      <c r="C240" s="5">
        <f>INDEX('Raw Data'!$C$2:$C$377,MATCH(A240,'Raw Data'!$B$2:$B$377,0))</f>
        <v/>
      </c>
      <c r="D240" s="7">
        <f>_xlfn.MINIFS('Raw Data'!$E$2:$E$377,'Raw Data'!$B$2:$B$377,A240)</f>
        <v/>
      </c>
      <c r="E240" s="5">
        <f>INDEX('Raw Data'!$A$2:$A$377,MATCH(1,INDEX(('Raw Data'!$B$2:$B$377=A240)*('Raw Data'!$E$2:$E$377=D240),0),0))</f>
        <v/>
      </c>
      <c r="F240" s="7">
        <f>_xlfn.MAXIFS('Raw Data'!$E$2:$E$377,'Raw Data'!$B$2:$B$377,A240)</f>
        <v/>
      </c>
      <c r="G240" s="5">
        <f>INDEX('Raw Data'!$A$2:$A$377,MATCH(1,INDEX(('Raw Data'!$B$2:$B$377=A240)*('Raw Data'!$E$2:$E$377=F240),0),0))</f>
        <v/>
      </c>
      <c r="H240" s="7">
        <f>F240-D240</f>
        <v/>
      </c>
      <c r="I240" s="5">
        <f>COUNTIF('Raw Data'!$B$2:$B$377,A240)</f>
        <v/>
      </c>
    </row>
    <row r="241">
      <c r="A241" s="5" t="n">
        <v>75535</v>
      </c>
      <c r="B241" s="6">
        <f>INDEX('Raw Data'!$D$2:$D$377,MATCH(A241,'Raw Data'!$B$2:$B$377,0))</f>
        <v/>
      </c>
      <c r="C241" s="5">
        <f>INDEX('Raw Data'!$C$2:$C$377,MATCH(A241,'Raw Data'!$B$2:$B$377,0))</f>
        <v/>
      </c>
      <c r="D241" s="7">
        <f>_xlfn.MINIFS('Raw Data'!$E$2:$E$377,'Raw Data'!$B$2:$B$377,A241)</f>
        <v/>
      </c>
      <c r="E241" s="5">
        <f>INDEX('Raw Data'!$A$2:$A$377,MATCH(1,INDEX(('Raw Data'!$B$2:$B$377=A241)*('Raw Data'!$E$2:$E$377=D241),0),0))</f>
        <v/>
      </c>
      <c r="F241" s="7">
        <f>_xlfn.MAXIFS('Raw Data'!$E$2:$E$377,'Raw Data'!$B$2:$B$377,A241)</f>
        <v/>
      </c>
      <c r="G241" s="5">
        <f>INDEX('Raw Data'!$A$2:$A$377,MATCH(1,INDEX(('Raw Data'!$B$2:$B$377=A241)*('Raw Data'!$E$2:$E$377=F241),0),0))</f>
        <v/>
      </c>
      <c r="H241" s="7">
        <f>F241-D241</f>
        <v/>
      </c>
      <c r="I241" s="5">
        <f>COUNTIF('Raw Data'!$B$2:$B$377,A241)</f>
        <v/>
      </c>
    </row>
    <row r="242">
      <c r="A242" s="5" t="n">
        <v>853778</v>
      </c>
      <c r="B242" s="6">
        <f>INDEX('Raw Data'!$D$2:$D$377,MATCH(A242,'Raw Data'!$B$2:$B$377,0))</f>
        <v/>
      </c>
      <c r="C242" s="5">
        <f>INDEX('Raw Data'!$C$2:$C$377,MATCH(A242,'Raw Data'!$B$2:$B$377,0))</f>
        <v/>
      </c>
      <c r="D242" s="7">
        <f>_xlfn.MINIFS('Raw Data'!$E$2:$E$377,'Raw Data'!$B$2:$B$377,A242)</f>
        <v/>
      </c>
      <c r="E242" s="5">
        <f>INDEX('Raw Data'!$A$2:$A$377,MATCH(1,INDEX(('Raw Data'!$B$2:$B$377=A242)*('Raw Data'!$E$2:$E$377=D242),0),0))</f>
        <v/>
      </c>
      <c r="F242" s="7">
        <f>_xlfn.MAXIFS('Raw Data'!$E$2:$E$377,'Raw Data'!$B$2:$B$377,A242)</f>
        <v/>
      </c>
      <c r="G242" s="5">
        <f>INDEX('Raw Data'!$A$2:$A$377,MATCH(1,INDEX(('Raw Data'!$B$2:$B$377=A242)*('Raw Data'!$E$2:$E$377=F242),0),0))</f>
        <v/>
      </c>
      <c r="H242" s="7">
        <f>F242-D242</f>
        <v/>
      </c>
      <c r="I242" s="5">
        <f>COUNTIF('Raw Data'!$B$2:$B$377,A242)</f>
        <v/>
      </c>
    </row>
    <row r="243">
      <c r="A243" s="5" t="n">
        <v>5005236</v>
      </c>
      <c r="B243" s="6">
        <f>INDEX('Raw Data'!$D$2:$D$377,MATCH(A243,'Raw Data'!$B$2:$B$377,0))</f>
        <v/>
      </c>
      <c r="C243" s="5">
        <f>INDEX('Raw Data'!$C$2:$C$377,MATCH(A243,'Raw Data'!$B$2:$B$377,0))</f>
        <v/>
      </c>
      <c r="D243" s="7">
        <f>_xlfn.MINIFS('Raw Data'!$E$2:$E$377,'Raw Data'!$B$2:$B$377,A243)</f>
        <v/>
      </c>
      <c r="E243" s="5">
        <f>INDEX('Raw Data'!$A$2:$A$377,MATCH(1,INDEX(('Raw Data'!$B$2:$B$377=A243)*('Raw Data'!$E$2:$E$377=D243),0),0))</f>
        <v/>
      </c>
      <c r="F243" s="7">
        <f>_xlfn.MAXIFS('Raw Data'!$E$2:$E$377,'Raw Data'!$B$2:$B$377,A243)</f>
        <v/>
      </c>
      <c r="G243" s="5">
        <f>INDEX('Raw Data'!$A$2:$A$377,MATCH(1,INDEX(('Raw Data'!$B$2:$B$377=A243)*('Raw Data'!$E$2:$E$377=F243),0),0))</f>
        <v/>
      </c>
      <c r="H243" s="7">
        <f>F243-D243</f>
        <v/>
      </c>
      <c r="I243" s="5">
        <f>COUNTIF('Raw Data'!$B$2:$B$377,A243)</f>
        <v/>
      </c>
    </row>
    <row r="245">
      <c r="A245" s="8" t="inlineStr">
        <is>
          <t>Note: Zavvi (2 rows, GBP prices, no category) and 1 row with a missing ProductID were excluded from this analysis. 48 exact duplicate rows (Brickmo) were also removed. See 'Raw Data' tab for the cleaned dataset.</t>
        </is>
      </c>
    </row>
  </sheetData>
  <autoFilter ref="A1:I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2026-07-16T12:30:52Z</dcterms:created>
  <dcterms:modified xmlns:dcterms="http://purl.org/dc/terms/" xmlns:xsi="http://www.w3.org/2001/XMLSchema-instance" xsi:type="dcterms:W3CDTF">2026-07-16T12:30:52Z</dcterms:modified>
</cp:coreProperties>
</file>